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o\Downloads\"/>
    </mc:Choice>
  </mc:AlternateContent>
  <xr:revisionPtr revIDLastSave="0" documentId="13_ncr:1_{9F3A42D6-705E-404C-B6CF-97458E0AEF8B}" xr6:coauthVersionLast="47" xr6:coauthVersionMax="47" xr10:uidLastSave="{00000000-0000-0000-0000-000000000000}"/>
  <bookViews>
    <workbookView xWindow="-108" yWindow="-108" windowWidth="23256" windowHeight="13896" xr2:uid="{1A66B29E-EBA1-471C-8FCB-D0E806BAF0EB}"/>
  </bookViews>
  <sheets>
    <sheet name="2026年8月度 売上  " sheetId="1" r:id="rId1"/>
  </sheets>
  <definedNames>
    <definedName name="_xlnm.Print_Area" localSheetId="0">'2026年8月度 売上  '!$A$1:$O$21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1" l="1"/>
  <c r="N21" i="1"/>
  <c r="M21" i="1"/>
  <c r="P21" i="1" s="1"/>
  <c r="P20" i="1"/>
  <c r="J20" i="1"/>
  <c r="K20" i="1" s="1"/>
  <c r="H20" i="1"/>
  <c r="G20" i="1"/>
  <c r="F20" i="1"/>
  <c r="E20" i="1"/>
  <c r="P19" i="1"/>
  <c r="J19" i="1"/>
  <c r="K19" i="1" s="1"/>
  <c r="H19" i="1"/>
  <c r="G19" i="1"/>
  <c r="F19" i="1"/>
  <c r="E19" i="1"/>
  <c r="P18" i="1"/>
  <c r="I18" i="1"/>
  <c r="I21" i="1" s="1"/>
  <c r="H18" i="1"/>
  <c r="H21" i="1" s="1"/>
  <c r="G18" i="1"/>
  <c r="G21" i="1" s="1"/>
  <c r="F18" i="1"/>
  <c r="E18" i="1"/>
  <c r="D18" i="1"/>
  <c r="C18" i="1"/>
  <c r="K16" i="1"/>
  <c r="K15" i="1"/>
  <c r="P13" i="1"/>
  <c r="K13" i="1"/>
  <c r="P12" i="1"/>
  <c r="K12" i="1"/>
  <c r="P11" i="1"/>
  <c r="K11" i="1"/>
  <c r="P10" i="1"/>
  <c r="K10" i="1"/>
  <c r="P9" i="1"/>
  <c r="K9" i="1"/>
  <c r="P7" i="1"/>
  <c r="J7" i="1"/>
  <c r="K7" i="1" s="1"/>
  <c r="P5" i="1"/>
  <c r="J5" i="1"/>
  <c r="K5" i="1" s="1"/>
  <c r="P4" i="1"/>
  <c r="J4" i="1"/>
  <c r="E21" i="1" l="1"/>
  <c r="F21" i="1"/>
  <c r="J18" i="1"/>
  <c r="J21" i="1" s="1"/>
  <c r="K4" i="1"/>
  <c r="K18" i="1" l="1"/>
  <c r="K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yamaguchi</author>
  </authors>
  <commentList>
    <comment ref="M2" authorId="0" shapeId="0" xr:uid="{DA988F11-83F8-467C-A6F7-6A28B9E3CFA9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駐車場代のみ
</t>
        </r>
      </text>
    </comment>
    <comment ref="O2" authorId="0" shapeId="0" xr:uid="{62E0BE00-F45E-44D7-A43D-9582C1A1B9F1}">
      <text>
        <r>
          <rPr>
            <b/>
            <sz val="9"/>
            <color indexed="81"/>
            <rFont val="MS P ゴシック"/>
            <family val="3"/>
            <charset val="128"/>
          </rPr>
          <t>rina yamaguchi:</t>
        </r>
        <r>
          <rPr>
            <sz val="9"/>
            <color indexed="81"/>
            <rFont val="MS P ゴシック"/>
            <family val="3"/>
            <charset val="128"/>
          </rPr>
          <t xml:space="preserve">
委託の給料（交通費込み）
日当の給料</t>
        </r>
      </text>
    </comment>
  </commentList>
</comments>
</file>

<file path=xl/sharedStrings.xml><?xml version="1.0" encoding="utf-8"?>
<sst xmlns="http://schemas.openxmlformats.org/spreadsheetml/2006/main" count="42" uniqueCount="37">
  <si>
    <t>発行号</t>
    <rPh sb="0" eb="2">
      <t>ハッコウ</t>
    </rPh>
    <rPh sb="2" eb="3">
      <t>ゴウ</t>
    </rPh>
    <phoneticPr fontId="3"/>
  </si>
  <si>
    <t>版名</t>
    <rPh sb="0" eb="1">
      <t>ハン</t>
    </rPh>
    <rPh sb="1" eb="2">
      <t>ナ</t>
    </rPh>
    <phoneticPr fontId="3"/>
  </si>
  <si>
    <t>ぱど</t>
    <phoneticPr fontId="3"/>
  </si>
  <si>
    <t>チラシ（総部数）</t>
    <rPh sb="4" eb="7">
      <t>ソウブスウ</t>
    </rPh>
    <phoneticPr fontId="3"/>
  </si>
  <si>
    <t>仕分け</t>
    <rPh sb="0" eb="2">
      <t>シワ</t>
    </rPh>
    <phoneticPr fontId="3"/>
  </si>
  <si>
    <t>その他</t>
    <rPh sb="2" eb="3">
      <t>タ</t>
    </rPh>
    <phoneticPr fontId="3"/>
  </si>
  <si>
    <t>売上合計
（税抜）</t>
    <rPh sb="0" eb="2">
      <t>ウリアゲ</t>
    </rPh>
    <rPh sb="2" eb="4">
      <t>ゴウケイ</t>
    </rPh>
    <rPh sb="7" eb="8">
      <t>ヌ</t>
    </rPh>
    <phoneticPr fontId="3"/>
  </si>
  <si>
    <t>売上合計
（税込）</t>
    <rPh sb="0" eb="2">
      <t>ウリアゲ</t>
    </rPh>
    <rPh sb="2" eb="4">
      <t>ゴウケイ</t>
    </rPh>
    <phoneticPr fontId="3"/>
  </si>
  <si>
    <t>備　考</t>
    <rPh sb="0" eb="1">
      <t>ソナエ</t>
    </rPh>
    <rPh sb="2" eb="3">
      <t>コウ</t>
    </rPh>
    <phoneticPr fontId="3"/>
  </si>
  <si>
    <r>
      <t xml:space="preserve">交通費
</t>
    </r>
    <r>
      <rPr>
        <sz val="8"/>
        <color theme="1"/>
        <rFont val="ＭＳ Ｐゴシック"/>
        <family val="3"/>
        <charset val="128"/>
        <scheme val="minor"/>
      </rPr>
      <t>（駐車場代含）</t>
    </r>
    <rPh sb="0" eb="3">
      <t>コウツウヒ</t>
    </rPh>
    <rPh sb="5" eb="8">
      <t>チュウシャジョウ</t>
    </rPh>
    <rPh sb="8" eb="9">
      <t>ダイ</t>
    </rPh>
    <rPh sb="9" eb="10">
      <t>フク</t>
    </rPh>
    <phoneticPr fontId="3"/>
  </si>
  <si>
    <t>飲み物</t>
    <rPh sb="0" eb="1">
      <t>ノ</t>
    </rPh>
    <rPh sb="2" eb="3">
      <t>モノ</t>
    </rPh>
    <phoneticPr fontId="3"/>
  </si>
  <si>
    <t>配布原価</t>
    <rPh sb="0" eb="2">
      <t>ハイフ</t>
    </rPh>
    <rPh sb="2" eb="4">
      <t>ゲンカ</t>
    </rPh>
    <phoneticPr fontId="3"/>
  </si>
  <si>
    <t>原価合計</t>
    <rPh sb="0" eb="2">
      <t>ゲンカ</t>
    </rPh>
    <rPh sb="2" eb="4">
      <t>ゴウケイ</t>
    </rPh>
    <phoneticPr fontId="3"/>
  </si>
  <si>
    <t>部数</t>
    <rPh sb="0" eb="2">
      <t>ブスウ</t>
    </rPh>
    <phoneticPr fontId="3"/>
  </si>
  <si>
    <t>売上（税抜）</t>
    <rPh sb="0" eb="2">
      <t>ウリアゲ</t>
    </rPh>
    <rPh sb="3" eb="4">
      <t>ゼイ</t>
    </rPh>
    <rPh sb="4" eb="5">
      <t>ヌ</t>
    </rPh>
    <phoneticPr fontId="3"/>
  </si>
  <si>
    <t>（税込）</t>
  </si>
  <si>
    <t>京阪南</t>
    <rPh sb="0" eb="2">
      <t>ケイハン</t>
    </rPh>
    <rPh sb="2" eb="3">
      <t>ミナミ</t>
    </rPh>
    <phoneticPr fontId="3"/>
  </si>
  <si>
    <t>京阪北</t>
    <rPh sb="0" eb="2">
      <t>ケイハン</t>
    </rPh>
    <rPh sb="2" eb="3">
      <t>キタ</t>
    </rPh>
    <phoneticPr fontId="3"/>
  </si>
  <si>
    <t>ｱﾄﾞ・バリュー　8-1</t>
    <phoneticPr fontId="3"/>
  </si>
  <si>
    <t>ｱﾄﾞ・バリュー　8-2</t>
    <phoneticPr fontId="3"/>
  </si>
  <si>
    <t>ｱﾄﾞ・バリュー　8-3</t>
    <phoneticPr fontId="3"/>
  </si>
  <si>
    <t>ｱﾄﾞ・バリュー　8-4</t>
    <phoneticPr fontId="3"/>
  </si>
  <si>
    <t>ｱﾄﾞ・バリュー　8-5</t>
    <phoneticPr fontId="3"/>
  </si>
  <si>
    <t>8/28号</t>
    <rPh sb="4" eb="5">
      <t>ゴウ</t>
    </rPh>
    <phoneticPr fontId="3"/>
  </si>
  <si>
    <t>リビング</t>
    <phoneticPr fontId="3"/>
  </si>
  <si>
    <t>8月度</t>
    <rPh sb="1" eb="3">
      <t>ガツド</t>
    </rPh>
    <phoneticPr fontId="3"/>
  </si>
  <si>
    <t>北大阪営業部</t>
    <rPh sb="0" eb="1">
      <t>キタ</t>
    </rPh>
    <rPh sb="1" eb="3">
      <t>オオサカ</t>
    </rPh>
    <rPh sb="3" eb="5">
      <t>エイギョウ</t>
    </rPh>
    <rPh sb="5" eb="6">
      <t>ブ</t>
    </rPh>
    <phoneticPr fontId="3"/>
  </si>
  <si>
    <t xml:space="preserve"> 関西ぱど</t>
    <rPh sb="1" eb="3">
      <t>カンサイ</t>
    </rPh>
    <phoneticPr fontId="3"/>
  </si>
  <si>
    <t xml:space="preserve"> アド・バリュー</t>
    <phoneticPr fontId="3"/>
  </si>
  <si>
    <t>計</t>
    <rPh sb="0" eb="1">
      <t>ケイ</t>
    </rPh>
    <phoneticPr fontId="3"/>
  </si>
  <si>
    <t>※ 小数点以下、四捨五入</t>
    <rPh sb="2" eb="5">
      <t>ショウスウテン</t>
    </rPh>
    <rPh sb="5" eb="7">
      <t>イカ</t>
    </rPh>
    <rPh sb="8" eb="12">
      <t>シシャゴニュウ</t>
    </rPh>
    <phoneticPr fontId="3"/>
  </si>
  <si>
    <t>20万＋位予測</t>
    <rPh sb="2" eb="3">
      <t>マン</t>
    </rPh>
    <rPh sb="4" eb="5">
      <t>クライ</t>
    </rPh>
    <rPh sb="5" eb="7">
      <t>ヨソク</t>
    </rPh>
    <phoneticPr fontId="3"/>
  </si>
  <si>
    <t>原価</t>
    <rPh sb="0" eb="2">
      <t>ゲンカ</t>
    </rPh>
    <phoneticPr fontId="3"/>
  </si>
  <si>
    <t>本社振込</t>
    <rPh sb="0" eb="2">
      <t>ホンシャ</t>
    </rPh>
    <rPh sb="2" eb="4">
      <t>フリコミ</t>
    </rPh>
    <phoneticPr fontId="3"/>
  </si>
  <si>
    <t xml:space="preserve"> リビング・プロシード　</t>
    <phoneticPr fontId="3"/>
  </si>
  <si>
    <t>㈱ケイピーエス　大阪支社　 　2026年 ●月度 売上表</t>
    <rPh sb="8" eb="10">
      <t>オオサカ</t>
    </rPh>
    <rPh sb="10" eb="12">
      <t>シシャ</t>
    </rPh>
    <rPh sb="19" eb="20">
      <t>ネン</t>
    </rPh>
    <rPh sb="22" eb="24">
      <t>ガツド</t>
    </rPh>
    <rPh sb="27" eb="28">
      <t>ヒョウ</t>
    </rPh>
    <phoneticPr fontId="3"/>
  </si>
  <si>
    <t>単独チラシ(あれば入力、案件ごとに行増やす)</t>
    <rPh sb="0" eb="2">
      <t>タンドク</t>
    </rPh>
    <rPh sb="9" eb="11">
      <t>ニュウリョク</t>
    </rPh>
    <rPh sb="12" eb="14">
      <t>アンケン</t>
    </rPh>
    <rPh sb="17" eb="18">
      <t>ギョウ</t>
    </rPh>
    <rPh sb="18" eb="19">
      <t>フ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</si>
</sst>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0.0%"/>
    <numFmt numFmtId="177" formatCode="#,##0.0;[Red]\-#,##0.0"/>
    <numFmt numFmtId="178" formatCode="m/d;@"/>
    <numFmt numFmtId="179" formatCode="0_);[Red]\(0\)"/>
    <numFmt numFmtId="180" formatCode="#,##0_);[Red]\(#,##0\)"/>
  </numFmts>
  <fonts count="16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2"/>
      <charset val="128"/>
      <scheme val="minor"/>
    </font>
    <font>
      <sz val="12"/>
      <color rgb="FFFFFF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tted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/>
      <top style="medium">
        <color indexed="64"/>
      </top>
      <bottom style="dotted">
        <color auto="1"/>
      </bottom>
      <diagonal/>
    </border>
    <border>
      <left style="dotted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dotted">
        <color auto="1"/>
      </bottom>
      <diagonal/>
    </border>
    <border>
      <left style="thin">
        <color auto="1"/>
      </left>
      <right/>
      <top style="medium">
        <color indexed="64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auto="1"/>
      </bottom>
      <diagonal/>
    </border>
    <border>
      <left style="dotted">
        <color auto="1"/>
      </left>
      <right style="thin">
        <color indexed="64"/>
      </right>
      <top/>
      <bottom style="double">
        <color auto="1"/>
      </bottom>
      <diagonal/>
    </border>
    <border>
      <left/>
      <right style="dotted">
        <color auto="1"/>
      </right>
      <top style="dotted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uble">
        <color auto="1"/>
      </bottom>
      <diagonal/>
    </border>
    <border>
      <left style="dotted">
        <color auto="1"/>
      </left>
      <right/>
      <top style="dotted">
        <color auto="1"/>
      </top>
      <bottom style="double">
        <color auto="1"/>
      </bottom>
      <diagonal/>
    </border>
    <border>
      <left style="dotted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/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indexed="64"/>
      </right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 style="dotted">
        <color indexed="64"/>
      </right>
      <top style="double">
        <color auto="1"/>
      </top>
      <bottom style="dotted">
        <color indexed="64"/>
      </bottom>
      <diagonal/>
    </border>
    <border>
      <left style="dotted">
        <color auto="1"/>
      </left>
      <right/>
      <top style="double">
        <color auto="1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double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uble">
        <color auto="1"/>
      </top>
      <bottom/>
      <diagonal/>
    </border>
    <border>
      <left style="dotted">
        <color auto="1"/>
      </left>
      <right style="dotted">
        <color auto="1"/>
      </right>
      <top style="double">
        <color auto="1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/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thin">
        <color auto="1"/>
      </bottom>
      <diagonal/>
    </border>
    <border>
      <left/>
      <right style="medium">
        <color indexed="64"/>
      </right>
      <top style="dotted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/>
      <bottom/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auto="1"/>
      </top>
      <bottom style="thin">
        <color indexed="64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dotted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indexed="64"/>
      </right>
      <top style="dotted">
        <color auto="1"/>
      </top>
      <bottom/>
      <diagonal/>
    </border>
    <border>
      <left/>
      <right style="medium">
        <color indexed="64"/>
      </right>
      <top style="dotted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/>
      <top/>
      <bottom style="dotted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uble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uble">
        <color auto="1"/>
      </bottom>
      <diagonal/>
    </border>
    <border>
      <left/>
      <right style="medium">
        <color indexed="64"/>
      </right>
      <top style="dotted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/>
      <bottom style="medium">
        <color indexed="64"/>
      </bottom>
      <diagonal/>
    </border>
    <border>
      <left style="dotted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9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0" xfId="3" applyNumberFormat="1" applyFont="1" applyFill="1">
      <alignment vertical="center"/>
    </xf>
    <xf numFmtId="38" fontId="5" fillId="0" borderId="0" xfId="1" applyFont="1" applyFill="1">
      <alignment vertical="center"/>
    </xf>
    <xf numFmtId="177" fontId="5" fillId="0" borderId="0" xfId="1" applyNumberFormat="1" applyFont="1" applyFill="1">
      <alignment vertical="center"/>
    </xf>
    <xf numFmtId="38" fontId="0" fillId="0" borderId="0" xfId="1" applyFont="1" applyFill="1">
      <alignment vertical="center"/>
    </xf>
    <xf numFmtId="10" fontId="0" fillId="0" borderId="0" xfId="3" applyNumberFormat="1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8" fontId="0" fillId="0" borderId="3" xfId="1" applyFont="1" applyFill="1" applyBorder="1" applyAlignment="1">
      <alignment horizontal="center" vertical="center"/>
    </xf>
    <xf numFmtId="38" fontId="0" fillId="0" borderId="4" xfId="1" applyFont="1" applyFill="1" applyBorder="1" applyAlignment="1">
      <alignment horizontal="center" vertical="center"/>
    </xf>
    <xf numFmtId="38" fontId="0" fillId="0" borderId="5" xfId="1" applyFont="1" applyFill="1" applyBorder="1" applyAlignment="1">
      <alignment horizontal="center" vertical="center"/>
    </xf>
    <xf numFmtId="38" fontId="0" fillId="0" borderId="6" xfId="1" applyFont="1" applyFill="1" applyBorder="1" applyAlignment="1">
      <alignment horizontal="center" vertical="center"/>
    </xf>
    <xf numFmtId="38" fontId="5" fillId="0" borderId="4" xfId="1" applyFont="1" applyFill="1" applyBorder="1" applyAlignment="1">
      <alignment horizontal="center" vertical="center" wrapText="1" shrinkToFit="1"/>
    </xf>
    <xf numFmtId="6" fontId="5" fillId="0" borderId="7" xfId="2" applyFont="1" applyFill="1" applyBorder="1" applyAlignment="1">
      <alignment horizontal="center" vertical="center" wrapText="1" shrinkToFit="1"/>
    </xf>
    <xf numFmtId="38" fontId="0" fillId="0" borderId="8" xfId="1" applyFont="1" applyFill="1" applyBorder="1" applyAlignment="1">
      <alignment horizontal="center" vertical="center" shrinkToFit="1"/>
    </xf>
    <xf numFmtId="38" fontId="0" fillId="0" borderId="9" xfId="1" applyFont="1" applyFill="1" applyBorder="1" applyAlignment="1">
      <alignment horizontal="center" vertical="center" wrapText="1"/>
    </xf>
    <xf numFmtId="38" fontId="0" fillId="0" borderId="9" xfId="1" applyFont="1" applyFill="1" applyBorder="1" applyAlignment="1">
      <alignment horizontal="center" vertical="center"/>
    </xf>
    <xf numFmtId="38" fontId="7" fillId="0" borderId="10" xfId="1" applyFont="1" applyFill="1" applyBorder="1" applyAlignment="1">
      <alignment horizontal="center" vertical="center" shrinkToFit="1"/>
    </xf>
    <xf numFmtId="38" fontId="7" fillId="0" borderId="11" xfId="1" applyFont="1" applyFill="1" applyBorder="1" applyAlignment="1">
      <alignment horizontal="center" vertical="center" shrinkToFit="1"/>
    </xf>
    <xf numFmtId="176" fontId="5" fillId="0" borderId="0" xfId="3" applyNumberFormat="1" applyFont="1" applyFill="1" applyBorder="1" applyAlignment="1">
      <alignment horizontal="center" vertical="center" shrinkToFit="1"/>
    </xf>
    <xf numFmtId="38" fontId="5" fillId="0" borderId="0" xfId="1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8" fontId="0" fillId="0" borderId="14" xfId="1" applyFont="1" applyFill="1" applyBorder="1" applyAlignment="1">
      <alignment horizontal="center" vertical="center" shrinkToFit="1"/>
    </xf>
    <xf numFmtId="38" fontId="0" fillId="0" borderId="15" xfId="1" applyFont="1" applyFill="1" applyBorder="1" applyAlignment="1">
      <alignment horizontal="center" vertical="center" shrinkToFit="1"/>
    </xf>
    <xf numFmtId="38" fontId="0" fillId="0" borderId="16" xfId="1" applyFont="1" applyFill="1" applyBorder="1" applyAlignment="1">
      <alignment horizontal="center" vertical="center" shrinkToFit="1"/>
    </xf>
    <xf numFmtId="38" fontId="0" fillId="0" borderId="17" xfId="1" applyFont="1" applyFill="1" applyBorder="1" applyAlignment="1">
      <alignment horizontal="center" vertical="center"/>
    </xf>
    <xf numFmtId="38" fontId="5" fillId="0" borderId="15" xfId="1" applyFont="1" applyFill="1" applyBorder="1" applyAlignment="1">
      <alignment horizontal="center" vertical="center" shrinkToFit="1"/>
    </xf>
    <xf numFmtId="6" fontId="5" fillId="0" borderId="18" xfId="2" applyFont="1" applyFill="1" applyBorder="1" applyAlignment="1">
      <alignment horizontal="center" vertical="center" shrinkToFit="1"/>
    </xf>
    <xf numFmtId="38" fontId="0" fillId="0" borderId="19" xfId="1" applyFont="1" applyFill="1" applyBorder="1" applyAlignment="1">
      <alignment horizontal="center" vertical="center" shrinkToFit="1"/>
    </xf>
    <xf numFmtId="38" fontId="0" fillId="0" borderId="20" xfId="1" applyFont="1" applyFill="1" applyBorder="1" applyAlignment="1">
      <alignment horizontal="center" vertical="center" wrapText="1"/>
    </xf>
    <xf numFmtId="38" fontId="0" fillId="0" borderId="20" xfId="1" applyFont="1" applyFill="1" applyBorder="1" applyAlignment="1">
      <alignment horizontal="center" vertical="center"/>
    </xf>
    <xf numFmtId="38" fontId="7" fillId="0" borderId="21" xfId="1" applyFont="1" applyFill="1" applyBorder="1" applyAlignment="1">
      <alignment horizontal="center" vertical="center" shrinkToFit="1"/>
    </xf>
    <xf numFmtId="38" fontId="7" fillId="0" borderId="22" xfId="1" applyFont="1" applyFill="1" applyBorder="1" applyAlignment="1">
      <alignment horizontal="center" vertical="center" shrinkToFit="1"/>
    </xf>
    <xf numFmtId="38" fontId="5" fillId="0" borderId="0" xfId="1" applyFont="1" applyFill="1" applyAlignment="1">
      <alignment horizontal="center" vertical="center" shrinkToFit="1"/>
    </xf>
    <xf numFmtId="177" fontId="5" fillId="0" borderId="0" xfId="1" applyNumberFormat="1" applyFont="1" applyFill="1" applyAlignment="1">
      <alignment horizontal="center" vertical="center" shrinkToFit="1"/>
    </xf>
    <xf numFmtId="38" fontId="0" fillId="0" borderId="0" xfId="1" applyFont="1" applyFill="1" applyAlignment="1">
      <alignment horizontal="center" vertical="center" shrinkToFit="1"/>
    </xf>
    <xf numFmtId="10" fontId="0" fillId="0" borderId="0" xfId="3" applyNumberFormat="1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178" fontId="7" fillId="0" borderId="23" xfId="0" applyNumberFormat="1" applyFont="1" applyBorder="1" applyAlignment="1">
      <alignment horizontal="center" vertical="center"/>
    </xf>
    <xf numFmtId="179" fontId="7" fillId="0" borderId="24" xfId="0" applyNumberFormat="1" applyFont="1" applyBorder="1" applyAlignment="1">
      <alignment horizontal="center" vertical="center"/>
    </xf>
    <xf numFmtId="38" fontId="8" fillId="0" borderId="25" xfId="1" applyFont="1" applyFill="1" applyBorder="1">
      <alignment vertical="center"/>
    </xf>
    <xf numFmtId="38" fontId="8" fillId="0" borderId="26" xfId="1" applyFont="1" applyFill="1" applyBorder="1">
      <alignment vertical="center"/>
    </xf>
    <xf numFmtId="38" fontId="8" fillId="0" borderId="27" xfId="1" applyFont="1" applyFill="1" applyBorder="1">
      <alignment vertical="center"/>
    </xf>
    <xf numFmtId="6" fontId="8" fillId="0" borderId="28" xfId="2" applyFont="1" applyFill="1" applyBorder="1">
      <alignment vertical="center"/>
    </xf>
    <xf numFmtId="38" fontId="9" fillId="0" borderId="29" xfId="1" applyFont="1" applyFill="1" applyBorder="1" applyAlignment="1">
      <alignment vertical="center" shrinkToFit="1"/>
    </xf>
    <xf numFmtId="38" fontId="10" fillId="0" borderId="30" xfId="1" applyFont="1" applyFill="1" applyBorder="1" applyAlignment="1">
      <alignment horizontal="right" vertical="center" shrinkToFit="1"/>
    </xf>
    <xf numFmtId="38" fontId="10" fillId="0" borderId="31" xfId="1" applyFont="1" applyFill="1" applyBorder="1" applyAlignment="1">
      <alignment horizontal="right" vertical="center" shrinkToFit="1"/>
    </xf>
    <xf numFmtId="38" fontId="10" fillId="2" borderId="32" xfId="1" applyFont="1" applyFill="1" applyBorder="1" applyAlignment="1">
      <alignment horizontal="right" vertical="center"/>
    </xf>
    <xf numFmtId="38" fontId="10" fillId="0" borderId="33" xfId="1" applyFont="1" applyFill="1" applyBorder="1" applyAlignment="1">
      <alignment horizontal="right" vertical="center"/>
    </xf>
    <xf numFmtId="6" fontId="5" fillId="0" borderId="0" xfId="2" applyFont="1" applyFill="1">
      <alignment vertical="center"/>
    </xf>
    <xf numFmtId="178" fontId="7" fillId="0" borderId="34" xfId="0" applyNumberFormat="1" applyFont="1" applyBorder="1" applyAlignment="1">
      <alignment horizontal="center" vertical="center"/>
    </xf>
    <xf numFmtId="179" fontId="7" fillId="0" borderId="35" xfId="0" applyNumberFormat="1" applyFont="1" applyBorder="1" applyAlignment="1">
      <alignment horizontal="center" vertical="center"/>
    </xf>
    <xf numFmtId="38" fontId="8" fillId="2" borderId="36" xfId="1" applyFont="1" applyFill="1" applyBorder="1">
      <alignment vertical="center"/>
    </xf>
    <xf numFmtId="38" fontId="8" fillId="2" borderId="37" xfId="1" applyFont="1" applyFill="1" applyBorder="1">
      <alignment vertical="center"/>
    </xf>
    <xf numFmtId="38" fontId="8" fillId="2" borderId="37" xfId="1" applyFont="1" applyFill="1" applyBorder="1" applyAlignment="1">
      <alignment horizontal="right" vertical="center"/>
    </xf>
    <xf numFmtId="6" fontId="8" fillId="2" borderId="38" xfId="2" applyFont="1" applyFill="1" applyBorder="1">
      <alignment vertical="center"/>
    </xf>
    <xf numFmtId="179" fontId="9" fillId="2" borderId="39" xfId="1" applyNumberFormat="1" applyFont="1" applyFill="1" applyBorder="1" applyAlignment="1">
      <alignment vertical="center" shrinkToFit="1"/>
    </xf>
    <xf numFmtId="38" fontId="10" fillId="2" borderId="36" xfId="1" applyFont="1" applyFill="1" applyBorder="1" applyAlignment="1">
      <alignment horizontal="right" vertical="center" shrinkToFit="1"/>
    </xf>
    <xf numFmtId="38" fontId="10" fillId="2" borderId="37" xfId="1" applyFont="1" applyFill="1" applyBorder="1" applyAlignment="1">
      <alignment horizontal="right" vertical="center" shrinkToFit="1"/>
    </xf>
    <xf numFmtId="38" fontId="10" fillId="2" borderId="40" xfId="1" applyFont="1" applyFill="1" applyBorder="1" applyAlignment="1">
      <alignment horizontal="right" vertical="center"/>
    </xf>
    <xf numFmtId="38" fontId="10" fillId="0" borderId="41" xfId="1" applyFont="1" applyFill="1" applyBorder="1" applyAlignment="1">
      <alignment horizontal="right" vertical="center"/>
    </xf>
    <xf numFmtId="10" fontId="0" fillId="0" borderId="0" xfId="3" applyNumberFormat="1" applyFont="1" applyFill="1">
      <alignment vertical="center"/>
    </xf>
    <xf numFmtId="178" fontId="7" fillId="0" borderId="42" xfId="0" applyNumberFormat="1" applyFont="1" applyBorder="1" applyAlignment="1">
      <alignment horizontal="center" vertical="center"/>
    </xf>
    <xf numFmtId="179" fontId="7" fillId="0" borderId="43" xfId="0" applyNumberFormat="1" applyFont="1" applyBorder="1" applyAlignment="1">
      <alignment horizontal="center" vertical="center"/>
    </xf>
    <xf numFmtId="38" fontId="8" fillId="0" borderId="43" xfId="1" applyFont="1" applyFill="1" applyBorder="1">
      <alignment vertical="center"/>
    </xf>
    <xf numFmtId="6" fontId="8" fillId="0" borderId="44" xfId="2" applyFont="1" applyFill="1" applyBorder="1">
      <alignment vertical="center"/>
    </xf>
    <xf numFmtId="6" fontId="11" fillId="0" borderId="43" xfId="1" applyNumberFormat="1" applyFont="1" applyFill="1" applyBorder="1" applyAlignment="1">
      <alignment vertical="center" shrinkToFit="1"/>
    </xf>
    <xf numFmtId="38" fontId="10" fillId="0" borderId="45" xfId="1" applyFont="1" applyFill="1" applyBorder="1" applyAlignment="1">
      <alignment horizontal="right" vertical="center" shrinkToFit="1"/>
    </xf>
    <xf numFmtId="38" fontId="10" fillId="0" borderId="46" xfId="1" applyFont="1" applyFill="1" applyBorder="1" applyAlignment="1">
      <alignment horizontal="right" vertical="center" shrinkToFit="1"/>
    </xf>
    <xf numFmtId="38" fontId="10" fillId="0" borderId="47" xfId="1" applyFont="1" applyFill="1" applyBorder="1" applyAlignment="1">
      <alignment horizontal="right" vertical="center"/>
    </xf>
    <xf numFmtId="38" fontId="10" fillId="0" borderId="48" xfId="1" applyFont="1" applyFill="1" applyBorder="1" applyAlignment="1">
      <alignment horizontal="right" vertical="center"/>
    </xf>
    <xf numFmtId="38" fontId="10" fillId="0" borderId="51" xfId="1" applyFont="1" applyFill="1" applyBorder="1">
      <alignment vertical="center"/>
    </xf>
    <xf numFmtId="38" fontId="10" fillId="0" borderId="46" xfId="1" applyFont="1" applyFill="1" applyBorder="1">
      <alignment vertical="center"/>
    </xf>
    <xf numFmtId="38" fontId="10" fillId="0" borderId="46" xfId="1" applyFont="1" applyFill="1" applyBorder="1" applyAlignment="1">
      <alignment horizontal="right" vertical="center"/>
    </xf>
    <xf numFmtId="180" fontId="10" fillId="0" borderId="46" xfId="0" applyNumberFormat="1" applyFont="1" applyBorder="1">
      <alignment vertical="center"/>
    </xf>
    <xf numFmtId="6" fontId="8" fillId="0" borderId="52" xfId="2" applyFont="1" applyFill="1" applyBorder="1">
      <alignment vertical="center"/>
    </xf>
    <xf numFmtId="0" fontId="0" fillId="0" borderId="53" xfId="0" applyBorder="1" applyAlignment="1">
      <alignment vertical="center" shrinkToFit="1"/>
    </xf>
    <xf numFmtId="38" fontId="10" fillId="0" borderId="45" xfId="1" applyFont="1" applyFill="1" applyBorder="1" applyAlignment="1">
      <alignment vertical="center" shrinkToFit="1"/>
    </xf>
    <xf numFmtId="38" fontId="10" fillId="0" borderId="46" xfId="1" applyFont="1" applyFill="1" applyBorder="1" applyAlignment="1">
      <alignment vertical="center" shrinkToFit="1"/>
    </xf>
    <xf numFmtId="38" fontId="7" fillId="0" borderId="47" xfId="1" applyFont="1" applyFill="1" applyBorder="1" applyAlignment="1">
      <alignment vertical="center" shrinkToFit="1"/>
    </xf>
    <xf numFmtId="38" fontId="10" fillId="0" borderId="54" xfId="1" applyFont="1" applyFill="1" applyBorder="1" applyAlignment="1">
      <alignment horizontal="right" vertical="center"/>
    </xf>
    <xf numFmtId="178" fontId="7" fillId="0" borderId="55" xfId="0" applyNumberFormat="1" applyFont="1" applyBorder="1" applyAlignment="1">
      <alignment horizontal="center" vertical="center"/>
    </xf>
    <xf numFmtId="178" fontId="7" fillId="0" borderId="56" xfId="0" applyNumberFormat="1" applyFont="1" applyBorder="1" applyAlignment="1">
      <alignment horizontal="center" vertical="center"/>
    </xf>
    <xf numFmtId="38" fontId="10" fillId="0" borderId="57" xfId="1" applyFont="1" applyFill="1" applyBorder="1">
      <alignment vertical="center"/>
    </xf>
    <xf numFmtId="38" fontId="10" fillId="0" borderId="58" xfId="1" applyFont="1" applyFill="1" applyBorder="1">
      <alignment vertical="center"/>
    </xf>
    <xf numFmtId="38" fontId="10" fillId="0" borderId="56" xfId="1" applyFont="1" applyFill="1" applyBorder="1" applyAlignment="1">
      <alignment horizontal="right" vertical="center"/>
    </xf>
    <xf numFmtId="38" fontId="10" fillId="0" borderId="56" xfId="1" applyFont="1" applyFill="1" applyBorder="1">
      <alignment vertical="center"/>
    </xf>
    <xf numFmtId="180" fontId="10" fillId="0" borderId="56" xfId="0" applyNumberFormat="1" applyFont="1" applyBorder="1">
      <alignment vertical="center"/>
    </xf>
    <xf numFmtId="0" fontId="0" fillId="0" borderId="56" xfId="0" applyBorder="1" applyAlignment="1">
      <alignment vertical="center" shrinkToFit="1"/>
    </xf>
    <xf numFmtId="38" fontId="10" fillId="0" borderId="56" xfId="1" applyFont="1" applyFill="1" applyBorder="1" applyAlignment="1">
      <alignment vertical="center" shrinkToFit="1"/>
    </xf>
    <xf numFmtId="38" fontId="7" fillId="0" borderId="59" xfId="1" applyFont="1" applyFill="1" applyBorder="1" applyAlignment="1">
      <alignment vertical="center" shrinkToFit="1"/>
    </xf>
    <xf numFmtId="38" fontId="10" fillId="0" borderId="60" xfId="1" applyFont="1" applyFill="1" applyBorder="1" applyAlignment="1">
      <alignment horizontal="right" vertical="center"/>
    </xf>
    <xf numFmtId="178" fontId="7" fillId="0" borderId="61" xfId="0" applyNumberFormat="1" applyFont="1" applyBorder="1" applyAlignment="1">
      <alignment horizontal="center" vertical="center"/>
    </xf>
    <xf numFmtId="178" fontId="7" fillId="0" borderId="62" xfId="0" applyNumberFormat="1" applyFont="1" applyBorder="1" applyAlignment="1">
      <alignment horizontal="center" vertical="center"/>
    </xf>
    <xf numFmtId="38" fontId="10" fillId="0" borderId="63" xfId="1" applyFont="1" applyFill="1" applyBorder="1">
      <alignment vertical="center"/>
    </xf>
    <xf numFmtId="38" fontId="10" fillId="0" borderId="64" xfId="1" applyFont="1" applyFill="1" applyBorder="1">
      <alignment vertical="center"/>
    </xf>
    <xf numFmtId="38" fontId="10" fillId="0" borderId="64" xfId="1" applyFont="1" applyFill="1" applyBorder="1" applyAlignment="1">
      <alignment horizontal="right" vertical="center"/>
    </xf>
    <xf numFmtId="180" fontId="10" fillId="0" borderId="64" xfId="0" applyNumberFormat="1" applyFont="1" applyBorder="1">
      <alignment vertical="center"/>
    </xf>
    <xf numFmtId="6" fontId="8" fillId="0" borderId="65" xfId="2" applyFont="1" applyFill="1" applyBorder="1">
      <alignment vertical="center"/>
    </xf>
    <xf numFmtId="0" fontId="0" fillId="0" borderId="66" xfId="0" applyBorder="1" applyAlignment="1">
      <alignment vertical="center" shrinkToFit="1"/>
    </xf>
    <xf numFmtId="38" fontId="10" fillId="0" borderId="67" xfId="1" applyFont="1" applyFill="1" applyBorder="1" applyAlignment="1">
      <alignment vertical="center" shrinkToFit="1"/>
    </xf>
    <xf numFmtId="38" fontId="10" fillId="0" borderId="68" xfId="1" applyFont="1" applyFill="1" applyBorder="1" applyAlignment="1">
      <alignment vertical="center" shrinkToFit="1"/>
    </xf>
    <xf numFmtId="38" fontId="7" fillId="0" borderId="69" xfId="1" applyFont="1" applyFill="1" applyBorder="1" applyAlignment="1">
      <alignment vertical="center" shrinkToFit="1"/>
    </xf>
    <xf numFmtId="178" fontId="7" fillId="0" borderId="70" xfId="0" applyNumberFormat="1" applyFont="1" applyBorder="1" applyAlignment="1">
      <alignment horizontal="center" vertical="center"/>
    </xf>
    <xf numFmtId="178" fontId="7" fillId="0" borderId="71" xfId="0" applyNumberFormat="1" applyFont="1" applyBorder="1" applyAlignment="1">
      <alignment horizontal="center" vertical="center"/>
    </xf>
    <xf numFmtId="38" fontId="10" fillId="0" borderId="72" xfId="1" applyFont="1" applyFill="1" applyBorder="1">
      <alignment vertical="center"/>
    </xf>
    <xf numFmtId="38" fontId="12" fillId="0" borderId="73" xfId="1" applyFont="1" applyFill="1" applyBorder="1">
      <alignment vertical="center"/>
    </xf>
    <xf numFmtId="38" fontId="10" fillId="0" borderId="73" xfId="1" applyFont="1" applyFill="1" applyBorder="1" applyAlignment="1">
      <alignment horizontal="right" vertical="center"/>
    </xf>
    <xf numFmtId="38" fontId="10" fillId="0" borderId="73" xfId="1" applyFont="1" applyFill="1" applyBorder="1">
      <alignment vertical="center"/>
    </xf>
    <xf numFmtId="180" fontId="10" fillId="0" borderId="73" xfId="0" applyNumberFormat="1" applyFont="1" applyBorder="1">
      <alignment vertical="center"/>
    </xf>
    <xf numFmtId="6" fontId="8" fillId="0" borderId="74" xfId="2" applyFont="1" applyFill="1" applyBorder="1">
      <alignment vertical="center"/>
    </xf>
    <xf numFmtId="0" fontId="0" fillId="0" borderId="75" xfId="0" applyBorder="1" applyAlignment="1">
      <alignment vertical="center" shrinkToFit="1"/>
    </xf>
    <xf numFmtId="38" fontId="10" fillId="0" borderId="76" xfId="1" applyFont="1" applyFill="1" applyBorder="1" applyAlignment="1">
      <alignment vertical="center" shrinkToFit="1"/>
    </xf>
    <xf numFmtId="38" fontId="10" fillId="0" borderId="77" xfId="1" applyFont="1" applyFill="1" applyBorder="1" applyAlignment="1">
      <alignment vertical="center" shrinkToFit="1"/>
    </xf>
    <xf numFmtId="38" fontId="7" fillId="0" borderId="78" xfId="1" applyFont="1" applyFill="1" applyBorder="1" applyAlignment="1">
      <alignment vertical="center" shrinkToFit="1"/>
    </xf>
    <xf numFmtId="38" fontId="10" fillId="0" borderId="79" xfId="1" applyFont="1" applyFill="1" applyBorder="1" applyAlignment="1">
      <alignment horizontal="right" vertical="center"/>
    </xf>
    <xf numFmtId="38" fontId="10" fillId="0" borderId="80" xfId="1" applyFont="1" applyFill="1" applyBorder="1">
      <alignment vertical="center"/>
    </xf>
    <xf numFmtId="38" fontId="10" fillId="0" borderId="81" xfId="1" applyFont="1" applyFill="1" applyBorder="1" applyAlignment="1">
      <alignment vertical="center" shrinkToFit="1"/>
    </xf>
    <xf numFmtId="38" fontId="7" fillId="2" borderId="82" xfId="1" applyFont="1" applyFill="1" applyBorder="1" applyAlignment="1">
      <alignment vertical="center" shrinkToFit="1"/>
    </xf>
    <xf numFmtId="38" fontId="10" fillId="0" borderId="83" xfId="1" applyFont="1" applyFill="1" applyBorder="1" applyAlignment="1">
      <alignment horizontal="right" vertical="center"/>
    </xf>
    <xf numFmtId="176" fontId="5" fillId="0" borderId="0" xfId="3" applyNumberFormat="1" applyFont="1" applyFill="1" applyBorder="1" applyAlignment="1">
      <alignment vertical="center"/>
    </xf>
    <xf numFmtId="38" fontId="10" fillId="0" borderId="84" xfId="1" applyFont="1" applyFill="1" applyBorder="1">
      <alignment vertical="center"/>
    </xf>
    <xf numFmtId="38" fontId="10" fillId="0" borderId="85" xfId="1" applyFont="1" applyFill="1" applyBorder="1">
      <alignment vertical="center"/>
    </xf>
    <xf numFmtId="38" fontId="7" fillId="0" borderId="82" xfId="1" applyFont="1" applyFill="1" applyBorder="1" applyAlignment="1">
      <alignment vertical="center" shrinkToFit="1"/>
    </xf>
    <xf numFmtId="6" fontId="8" fillId="0" borderId="38" xfId="2" applyFont="1" applyFill="1" applyBorder="1">
      <alignment vertical="center"/>
    </xf>
    <xf numFmtId="38" fontId="10" fillId="0" borderId="43" xfId="1" applyFont="1" applyFill="1" applyBorder="1" applyAlignment="1">
      <alignment horizontal="right" vertical="center" shrinkToFit="1"/>
    </xf>
    <xf numFmtId="38" fontId="5" fillId="0" borderId="0" xfId="1" applyFont="1" applyFill="1" applyBorder="1" applyAlignment="1">
      <alignment vertical="center"/>
    </xf>
    <xf numFmtId="178" fontId="7" fillId="0" borderId="86" xfId="0" applyNumberFormat="1" applyFont="1" applyBorder="1" applyAlignment="1">
      <alignment horizontal="center" vertical="center" wrapText="1"/>
    </xf>
    <xf numFmtId="178" fontId="7" fillId="0" borderId="87" xfId="0" applyNumberFormat="1" applyFont="1" applyBorder="1" applyAlignment="1">
      <alignment horizontal="center" vertical="center" wrapText="1"/>
    </xf>
    <xf numFmtId="38" fontId="8" fillId="0" borderId="67" xfId="1" applyFont="1" applyFill="1" applyBorder="1">
      <alignment vertical="center"/>
    </xf>
    <xf numFmtId="38" fontId="10" fillId="0" borderId="68" xfId="1" applyFont="1" applyFill="1" applyBorder="1">
      <alignment vertical="center"/>
    </xf>
    <xf numFmtId="38" fontId="8" fillId="0" borderId="68" xfId="1" applyFont="1" applyFill="1" applyBorder="1">
      <alignment vertical="center"/>
    </xf>
    <xf numFmtId="38" fontId="10" fillId="2" borderId="68" xfId="1" applyFont="1" applyFill="1" applyBorder="1">
      <alignment vertical="center"/>
    </xf>
    <xf numFmtId="0" fontId="0" fillId="0" borderId="88" xfId="0" applyBorder="1" applyAlignment="1">
      <alignment vertical="center" shrinkToFit="1"/>
    </xf>
    <xf numFmtId="38" fontId="10" fillId="0" borderId="51" xfId="1" applyFont="1" applyFill="1" applyBorder="1" applyAlignment="1">
      <alignment horizontal="center" vertical="center"/>
    </xf>
    <xf numFmtId="38" fontId="10" fillId="0" borderId="46" xfId="1" applyFont="1" applyFill="1" applyBorder="1" applyAlignment="1">
      <alignment horizontal="center" vertical="center" shrinkToFit="1"/>
    </xf>
    <xf numFmtId="38" fontId="10" fillId="2" borderId="89" xfId="1" applyFont="1" applyFill="1" applyBorder="1" applyAlignment="1">
      <alignment horizontal="right" vertical="center"/>
    </xf>
    <xf numFmtId="38" fontId="10" fillId="0" borderId="89" xfId="1" applyFont="1" applyFill="1" applyBorder="1" applyAlignment="1">
      <alignment horizontal="right" vertical="center"/>
    </xf>
    <xf numFmtId="178" fontId="7" fillId="0" borderId="90" xfId="0" applyNumberFormat="1" applyFont="1" applyBorder="1" applyAlignment="1">
      <alignment horizontal="center" vertical="center" wrapText="1"/>
    </xf>
    <xf numFmtId="178" fontId="7" fillId="0" borderId="91" xfId="0" applyNumberFormat="1" applyFont="1" applyBorder="1" applyAlignment="1">
      <alignment horizontal="center" vertical="center" wrapText="1"/>
    </xf>
    <xf numFmtId="38" fontId="8" fillId="0" borderId="36" xfId="1" applyFont="1" applyFill="1" applyBorder="1">
      <alignment vertical="center"/>
    </xf>
    <xf numFmtId="38" fontId="10" fillId="0" borderId="37" xfId="1" applyFont="1" applyFill="1" applyBorder="1">
      <alignment vertical="center"/>
    </xf>
    <xf numFmtId="38" fontId="8" fillId="0" borderId="37" xfId="1" applyFont="1" applyFill="1" applyBorder="1">
      <alignment vertical="center"/>
    </xf>
    <xf numFmtId="38" fontId="0" fillId="0" borderId="37" xfId="1" applyFont="1" applyFill="1" applyBorder="1">
      <alignment vertical="center"/>
    </xf>
    <xf numFmtId="38" fontId="10" fillId="2" borderId="37" xfId="1" applyFont="1" applyFill="1" applyBorder="1">
      <alignment vertical="center"/>
    </xf>
    <xf numFmtId="0" fontId="0" fillId="0" borderId="39" xfId="0" applyBorder="1" applyAlignment="1">
      <alignment vertical="center" shrinkToFit="1"/>
    </xf>
    <xf numFmtId="38" fontId="10" fillId="2" borderId="59" xfId="1" applyFont="1" applyFill="1" applyBorder="1" applyAlignment="1">
      <alignment horizontal="right" vertical="center"/>
    </xf>
    <xf numFmtId="38" fontId="10" fillId="0" borderId="59" xfId="1" applyFont="1" applyFill="1" applyBorder="1" applyAlignment="1">
      <alignment horizontal="right" vertical="center"/>
    </xf>
    <xf numFmtId="179" fontId="7" fillId="0" borderId="56" xfId="0" applyNumberFormat="1" applyFont="1" applyBorder="1" applyAlignment="1">
      <alignment horizontal="center" vertical="center"/>
    </xf>
    <xf numFmtId="38" fontId="8" fillId="0" borderId="56" xfId="1" applyFont="1" applyFill="1" applyBorder="1">
      <alignment vertical="center"/>
    </xf>
    <xf numFmtId="6" fontId="11" fillId="0" borderId="92" xfId="1" applyNumberFormat="1" applyFont="1" applyFill="1" applyBorder="1" applyAlignment="1">
      <alignment vertical="center" shrinkToFit="1"/>
    </xf>
    <xf numFmtId="38" fontId="10" fillId="0" borderId="93" xfId="1" applyFont="1" applyFill="1" applyBorder="1" applyAlignment="1">
      <alignment horizontal="right" vertical="center" shrinkToFit="1"/>
    </xf>
    <xf numFmtId="38" fontId="10" fillId="0" borderId="94" xfId="1" applyFont="1" applyFill="1" applyBorder="1" applyAlignment="1">
      <alignment horizontal="right" vertical="center"/>
    </xf>
    <xf numFmtId="0" fontId="5" fillId="0" borderId="95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 shrinkToFit="1"/>
    </xf>
    <xf numFmtId="38" fontId="13" fillId="0" borderId="45" xfId="1" applyFont="1" applyFill="1" applyBorder="1">
      <alignment vertical="center"/>
    </xf>
    <xf numFmtId="38" fontId="5" fillId="0" borderId="43" xfId="1" applyFont="1" applyFill="1" applyBorder="1" applyAlignment="1">
      <alignment vertical="center" shrinkToFit="1"/>
    </xf>
    <xf numFmtId="38" fontId="13" fillId="0" borderId="51" xfId="1" applyFont="1" applyFill="1" applyBorder="1" applyAlignment="1">
      <alignment vertical="center" shrinkToFit="1"/>
    </xf>
    <xf numFmtId="38" fontId="13" fillId="0" borderId="46" xfId="1" applyFont="1" applyFill="1" applyBorder="1" applyAlignment="1">
      <alignment vertical="center" shrinkToFit="1"/>
    </xf>
    <xf numFmtId="38" fontId="5" fillId="0" borderId="47" xfId="1" applyFont="1" applyFill="1" applyBorder="1">
      <alignment vertical="center"/>
    </xf>
    <xf numFmtId="0" fontId="5" fillId="0" borderId="96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38" fontId="13" fillId="0" borderId="98" xfId="1" applyFont="1" applyFill="1" applyBorder="1">
      <alignment vertical="center"/>
    </xf>
    <xf numFmtId="38" fontId="5" fillId="0" borderId="99" xfId="1" applyFont="1" applyFill="1" applyBorder="1" applyAlignment="1">
      <alignment vertical="center" shrinkToFit="1"/>
    </xf>
    <xf numFmtId="38" fontId="13" fillId="0" borderId="30" xfId="1" applyFont="1" applyFill="1" applyBorder="1" applyAlignment="1">
      <alignment vertical="center" shrinkToFit="1"/>
    </xf>
    <xf numFmtId="38" fontId="13" fillId="0" borderId="31" xfId="1" applyFont="1" applyFill="1" applyBorder="1" applyAlignment="1">
      <alignment vertical="center" shrinkToFit="1"/>
    </xf>
    <xf numFmtId="38" fontId="13" fillId="0" borderId="32" xfId="1" applyFont="1" applyFill="1" applyBorder="1" applyAlignment="1">
      <alignment vertical="center" shrinkToFit="1"/>
    </xf>
    <xf numFmtId="0" fontId="5" fillId="0" borderId="20" xfId="0" applyFont="1" applyBorder="1" applyAlignment="1">
      <alignment horizontal="center" vertical="center"/>
    </xf>
    <xf numFmtId="38" fontId="13" fillId="0" borderId="14" xfId="1" applyFont="1" applyFill="1" applyBorder="1">
      <alignment vertical="center"/>
    </xf>
    <xf numFmtId="6" fontId="8" fillId="0" borderId="100" xfId="2" applyFont="1" applyFill="1" applyBorder="1">
      <alignment vertical="center"/>
    </xf>
    <xf numFmtId="38" fontId="5" fillId="0" borderId="101" xfId="1" applyFont="1" applyFill="1" applyBorder="1" applyAlignment="1">
      <alignment vertical="center" shrinkToFit="1"/>
    </xf>
    <xf numFmtId="38" fontId="13" fillId="0" borderId="102" xfId="1" applyFont="1" applyFill="1" applyBorder="1" applyAlignment="1">
      <alignment vertical="center" shrinkToFit="1"/>
    </xf>
    <xf numFmtId="38" fontId="13" fillId="0" borderId="15" xfId="1" applyFont="1" applyFill="1" applyBorder="1" applyAlignment="1">
      <alignment vertical="center" shrinkToFit="1"/>
    </xf>
    <xf numFmtId="38" fontId="13" fillId="0" borderId="103" xfId="1" applyFont="1" applyFill="1" applyBorder="1" applyAlignment="1">
      <alignment vertical="center" shrinkToFit="1"/>
    </xf>
    <xf numFmtId="38" fontId="10" fillId="0" borderId="104" xfId="1" applyFont="1" applyFill="1" applyBorder="1" applyAlignment="1">
      <alignment horizontal="right" vertical="center"/>
    </xf>
    <xf numFmtId="0" fontId="5" fillId="0" borderId="105" xfId="0" applyFont="1" applyBorder="1" applyAlignment="1">
      <alignment horizontal="center" vertical="center"/>
    </xf>
    <xf numFmtId="0" fontId="5" fillId="0" borderId="106" xfId="0" applyFont="1" applyBorder="1" applyAlignment="1">
      <alignment horizontal="center" vertical="center"/>
    </xf>
    <xf numFmtId="38" fontId="13" fillId="0" borderId="107" xfId="1" applyFont="1" applyFill="1" applyBorder="1">
      <alignment vertical="center"/>
    </xf>
    <xf numFmtId="6" fontId="13" fillId="0" borderId="108" xfId="2" applyFont="1" applyFill="1" applyBorder="1">
      <alignment vertical="center"/>
    </xf>
    <xf numFmtId="38" fontId="13" fillId="0" borderId="109" xfId="1" applyFont="1" applyFill="1" applyBorder="1">
      <alignment vertical="center"/>
    </xf>
    <xf numFmtId="38" fontId="13" fillId="0" borderId="110" xfId="1" applyFont="1" applyFill="1" applyBorder="1">
      <alignment vertical="center"/>
    </xf>
    <xf numFmtId="38" fontId="13" fillId="0" borderId="111" xfId="1" applyFont="1" applyFill="1" applyBorder="1">
      <alignment vertical="center"/>
    </xf>
    <xf numFmtId="38" fontId="10" fillId="0" borderId="112" xfId="1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6" fontId="10" fillId="0" borderId="0" xfId="2" applyFont="1" applyFill="1" applyAlignment="1">
      <alignment horizontal="right" vertical="center"/>
    </xf>
    <xf numFmtId="38" fontId="0" fillId="0" borderId="0" xfId="1" applyFont="1" applyFill="1" applyAlignment="1">
      <alignment vertical="center" shrinkToFit="1"/>
    </xf>
    <xf numFmtId="38" fontId="7" fillId="0" borderId="0" xfId="1" applyFont="1" applyFill="1">
      <alignment vertical="center"/>
    </xf>
    <xf numFmtId="0" fontId="0" fillId="0" borderId="0" xfId="0" applyAlignment="1">
      <alignment horizontal="center" vertical="center"/>
    </xf>
    <xf numFmtId="6" fontId="0" fillId="0" borderId="0" xfId="2" applyFont="1" applyFill="1">
      <alignment vertical="center"/>
    </xf>
    <xf numFmtId="38" fontId="0" fillId="0" borderId="0" xfId="1" applyFont="1" applyFill="1" applyBorder="1" applyAlignment="1">
      <alignment vertical="center" shrinkToFit="1"/>
    </xf>
    <xf numFmtId="178" fontId="7" fillId="0" borderId="49" xfId="0" applyNumberFormat="1" applyFont="1" applyBorder="1" applyAlignment="1">
      <alignment horizontal="center" vertical="center" wrapText="1"/>
    </xf>
    <xf numFmtId="178" fontId="7" fillId="0" borderId="50" xfId="0" applyNumberFormat="1" applyFont="1" applyBorder="1" applyAlignment="1">
      <alignment horizontal="center" vertical="center" wrapText="1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39"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45EB-E2FF-44E3-8980-6E13F7830015}">
  <sheetPr>
    <pageSetUpPr fitToPage="1"/>
  </sheetPr>
  <dimension ref="A1:U44"/>
  <sheetViews>
    <sheetView tabSelected="1" zoomScaleNormal="100" workbookViewId="0">
      <selection activeCell="D9" sqref="D9"/>
    </sheetView>
  </sheetViews>
  <sheetFormatPr defaultRowHeight="13.2"/>
  <cols>
    <col min="1" max="1" width="9.77734375" customWidth="1"/>
    <col min="2" max="2" width="12.5546875" style="190" customWidth="1"/>
    <col min="3" max="3" width="10.77734375" style="6" customWidth="1"/>
    <col min="4" max="4" width="12.77734375" style="6" customWidth="1"/>
    <col min="5" max="5" width="12.5546875" style="6" customWidth="1"/>
    <col min="6" max="6" width="12.77734375" style="6" customWidth="1"/>
    <col min="7" max="7" width="12.5546875" style="6" customWidth="1"/>
    <col min="8" max="8" width="12.77734375" style="6" customWidth="1"/>
    <col min="9" max="9" width="11.21875" style="6" customWidth="1"/>
    <col min="10" max="10" width="13.33203125" style="6" customWidth="1"/>
    <col min="11" max="11" width="13.6640625" style="191" customWidth="1"/>
    <col min="12" max="12" width="27.33203125" style="188" customWidth="1"/>
    <col min="13" max="14" width="10.77734375" style="6" customWidth="1"/>
    <col min="15" max="15" width="12.33203125" style="4" bestFit="1" customWidth="1"/>
    <col min="16" max="16" width="13.44140625" style="189" customWidth="1"/>
    <col min="17" max="17" width="13" style="3" customWidth="1"/>
    <col min="18" max="18" width="11.33203125" style="4" customWidth="1"/>
    <col min="19" max="19" width="9.109375" style="5" bestFit="1" customWidth="1"/>
    <col min="20" max="20" width="8.88671875" style="6"/>
    <col min="21" max="21" width="13.33203125" style="7" bestFit="1" customWidth="1"/>
  </cols>
  <sheetData>
    <row r="1" spans="1:21" ht="32.25" customHeight="1" thickBot="1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spans="1:21" ht="40.049999999999997" customHeight="1">
      <c r="A2" s="8" t="s">
        <v>0</v>
      </c>
      <c r="B2" s="9" t="s">
        <v>1</v>
      </c>
      <c r="C2" s="10" t="s">
        <v>2</v>
      </c>
      <c r="D2" s="11"/>
      <c r="E2" s="11" t="s">
        <v>3</v>
      </c>
      <c r="F2" s="12"/>
      <c r="G2" s="11" t="s">
        <v>4</v>
      </c>
      <c r="H2" s="12"/>
      <c r="I2" s="13" t="s">
        <v>5</v>
      </c>
      <c r="J2" s="14" t="s">
        <v>6</v>
      </c>
      <c r="K2" s="15" t="s">
        <v>7</v>
      </c>
      <c r="L2" s="16" t="s">
        <v>8</v>
      </c>
      <c r="M2" s="17" t="s">
        <v>9</v>
      </c>
      <c r="N2" s="18" t="s">
        <v>10</v>
      </c>
      <c r="O2" s="19" t="s">
        <v>11</v>
      </c>
      <c r="P2" s="20" t="s">
        <v>12</v>
      </c>
      <c r="Q2" s="21"/>
      <c r="T2" s="22"/>
    </row>
    <row r="3" spans="1:21" s="40" customFormat="1" ht="40.049999999999997" customHeight="1" thickBot="1">
      <c r="A3" s="23"/>
      <c r="B3" s="24"/>
      <c r="C3" s="25" t="s">
        <v>13</v>
      </c>
      <c r="D3" s="26" t="s">
        <v>14</v>
      </c>
      <c r="E3" s="26" t="s">
        <v>13</v>
      </c>
      <c r="F3" s="27" t="s">
        <v>14</v>
      </c>
      <c r="G3" s="26" t="s">
        <v>13</v>
      </c>
      <c r="H3" s="27" t="s">
        <v>14</v>
      </c>
      <c r="I3" s="28"/>
      <c r="J3" s="29"/>
      <c r="K3" s="30"/>
      <c r="L3" s="31"/>
      <c r="M3" s="32"/>
      <c r="N3" s="33"/>
      <c r="O3" s="34" t="s">
        <v>15</v>
      </c>
      <c r="P3" s="35" t="s">
        <v>15</v>
      </c>
      <c r="Q3" s="21"/>
      <c r="R3" s="36"/>
      <c r="S3" s="37"/>
      <c r="T3" s="38"/>
      <c r="U3" s="39"/>
    </row>
    <row r="4" spans="1:21" ht="40.049999999999997" customHeight="1" thickTop="1">
      <c r="A4" s="41"/>
      <c r="B4" s="42" t="s">
        <v>16</v>
      </c>
      <c r="C4" s="43"/>
      <c r="D4" s="44"/>
      <c r="E4" s="45"/>
      <c r="F4" s="45"/>
      <c r="G4" s="45"/>
      <c r="H4" s="45"/>
      <c r="I4" s="45"/>
      <c r="J4" s="45">
        <f>D4+F4+H4+I4</f>
        <v>0</v>
      </c>
      <c r="K4" s="46">
        <f>ROUND(J4*1.1,0)</f>
        <v>0</v>
      </c>
      <c r="L4" s="47"/>
      <c r="M4" s="48"/>
      <c r="N4" s="49"/>
      <c r="O4" s="50"/>
      <c r="P4" s="51">
        <f>M4+N4+O4</f>
        <v>0</v>
      </c>
      <c r="Q4" s="52"/>
      <c r="R4" s="52"/>
    </row>
    <row r="5" spans="1:21" ht="40.049999999999997" customHeight="1">
      <c r="A5" s="53"/>
      <c r="B5" s="54" t="s">
        <v>17</v>
      </c>
      <c r="C5" s="55"/>
      <c r="D5" s="56"/>
      <c r="E5" s="57"/>
      <c r="F5" s="56"/>
      <c r="G5" s="57"/>
      <c r="H5" s="56"/>
      <c r="I5" s="56"/>
      <c r="J5" s="56">
        <f>SUM(D5,F5,H5,I5)</f>
        <v>0</v>
      </c>
      <c r="K5" s="58">
        <f>ROUND(J5*1.1,0)</f>
        <v>0</v>
      </c>
      <c r="L5" s="59"/>
      <c r="M5" s="60"/>
      <c r="N5" s="61"/>
      <c r="O5" s="62"/>
      <c r="P5" s="63">
        <f>M5+N5+O5</f>
        <v>0</v>
      </c>
      <c r="Q5" s="52"/>
      <c r="R5" s="52"/>
      <c r="U5" s="64"/>
    </row>
    <row r="6" spans="1:21" ht="8.4" customHeight="1">
      <c r="A6" s="65"/>
      <c r="B6" s="66"/>
      <c r="C6" s="67"/>
      <c r="D6" s="67"/>
      <c r="E6" s="67"/>
      <c r="F6" s="67"/>
      <c r="G6" s="67"/>
      <c r="H6" s="67"/>
      <c r="I6" s="67"/>
      <c r="J6" s="67"/>
      <c r="K6" s="68"/>
      <c r="L6" s="69"/>
      <c r="M6" s="70"/>
      <c r="N6" s="71"/>
      <c r="O6" s="72"/>
      <c r="P6" s="73"/>
      <c r="Q6" s="52"/>
      <c r="R6" s="52"/>
    </row>
    <row r="7" spans="1:21" ht="40.049999999999997" customHeight="1">
      <c r="A7" s="193" t="s">
        <v>36</v>
      </c>
      <c r="B7" s="194"/>
      <c r="C7" s="74"/>
      <c r="D7" s="75"/>
      <c r="E7" s="76"/>
      <c r="F7" s="75"/>
      <c r="G7" s="76"/>
      <c r="H7" s="75"/>
      <c r="I7" s="77"/>
      <c r="J7" s="75">
        <f>F7</f>
        <v>0</v>
      </c>
      <c r="K7" s="78">
        <f t="shared" ref="K7:K20" si="0">ROUND(J7*1.1,0)</f>
        <v>0</v>
      </c>
      <c r="L7" s="79"/>
      <c r="M7" s="80"/>
      <c r="N7" s="81"/>
      <c r="O7" s="82"/>
      <c r="P7" s="83">
        <f>M7+N7+O7</f>
        <v>0</v>
      </c>
      <c r="Q7" s="52"/>
      <c r="R7" s="52"/>
    </row>
    <row r="8" spans="1:21" ht="12.6" customHeight="1">
      <c r="A8" s="84"/>
      <c r="B8" s="85"/>
      <c r="C8" s="86"/>
      <c r="D8" s="87"/>
      <c r="E8" s="88"/>
      <c r="F8" s="89"/>
      <c r="G8" s="88"/>
      <c r="H8" s="89"/>
      <c r="I8" s="90"/>
      <c r="J8" s="86"/>
      <c r="K8" s="68"/>
      <c r="L8" s="91"/>
      <c r="M8" s="92"/>
      <c r="N8" s="92"/>
      <c r="O8" s="93"/>
      <c r="P8" s="94"/>
      <c r="Q8" s="52"/>
      <c r="R8" s="52"/>
    </row>
    <row r="9" spans="1:21" ht="40.049999999999997" customHeight="1">
      <c r="A9" s="95" t="s">
        <v>18</v>
      </c>
      <c r="B9" s="96"/>
      <c r="C9" s="97"/>
      <c r="D9" s="98"/>
      <c r="E9" s="99"/>
      <c r="F9" s="98"/>
      <c r="G9" s="99"/>
      <c r="H9" s="98"/>
      <c r="I9" s="100"/>
      <c r="J9" s="98"/>
      <c r="K9" s="101">
        <f t="shared" si="0"/>
        <v>0</v>
      </c>
      <c r="L9" s="102"/>
      <c r="M9" s="103"/>
      <c r="N9" s="104"/>
      <c r="O9" s="105"/>
      <c r="P9" s="94">
        <f>SUM(M9:O9)</f>
        <v>0</v>
      </c>
      <c r="Q9" s="52"/>
      <c r="R9" s="52"/>
    </row>
    <row r="10" spans="1:21" ht="40.049999999999997" customHeight="1">
      <c r="A10" s="106" t="s">
        <v>19</v>
      </c>
      <c r="B10" s="107"/>
      <c r="C10" s="108"/>
      <c r="D10" s="109"/>
      <c r="E10" s="110"/>
      <c r="F10" s="111"/>
      <c r="G10" s="110"/>
      <c r="H10" s="111"/>
      <c r="I10" s="112"/>
      <c r="J10" s="111"/>
      <c r="K10" s="113">
        <f t="shared" si="0"/>
        <v>0</v>
      </c>
      <c r="L10" s="114"/>
      <c r="M10" s="115"/>
      <c r="N10" s="116"/>
      <c r="O10" s="117"/>
      <c r="P10" s="118">
        <f t="shared" ref="P10:P20" si="1">M10+N10+O10</f>
        <v>0</v>
      </c>
      <c r="Q10" s="52"/>
      <c r="R10" s="52"/>
    </row>
    <row r="11" spans="1:21" ht="40.049999999999997" customHeight="1">
      <c r="A11" s="106" t="s">
        <v>20</v>
      </c>
      <c r="B11" s="107"/>
      <c r="C11" s="108"/>
      <c r="D11" s="111"/>
      <c r="E11" s="111"/>
      <c r="F11" s="111"/>
      <c r="G11" s="111"/>
      <c r="H11" s="111"/>
      <c r="I11" s="111"/>
      <c r="J11" s="111"/>
      <c r="K11" s="113">
        <f t="shared" si="0"/>
        <v>0</v>
      </c>
      <c r="L11" s="114"/>
      <c r="M11" s="119"/>
      <c r="N11" s="120"/>
      <c r="O11" s="121"/>
      <c r="P11" s="122">
        <f>M11+N11+O11</f>
        <v>0</v>
      </c>
      <c r="Q11" s="123"/>
      <c r="R11" s="52"/>
    </row>
    <row r="12" spans="1:21" ht="40.049999999999997" customHeight="1">
      <c r="A12" s="106" t="s">
        <v>21</v>
      </c>
      <c r="B12" s="107"/>
      <c r="C12" s="124"/>
      <c r="D12" s="125"/>
      <c r="E12" s="125"/>
      <c r="F12" s="125"/>
      <c r="G12" s="125"/>
      <c r="H12" s="125"/>
      <c r="I12" s="125"/>
      <c r="J12" s="125"/>
      <c r="K12" s="113">
        <f t="shared" si="0"/>
        <v>0</v>
      </c>
      <c r="L12" s="114"/>
      <c r="M12" s="119"/>
      <c r="N12" s="120"/>
      <c r="O12" s="126"/>
      <c r="P12" s="122">
        <f>M12+N12+O12</f>
        <v>0</v>
      </c>
      <c r="Q12" s="123"/>
      <c r="R12" s="52"/>
    </row>
    <row r="13" spans="1:21" ht="40.049999999999997" customHeight="1">
      <c r="A13" s="106" t="s">
        <v>22</v>
      </c>
      <c r="B13" s="107"/>
      <c r="C13" s="124"/>
      <c r="D13" s="125"/>
      <c r="E13" s="125"/>
      <c r="F13" s="125"/>
      <c r="G13" s="125"/>
      <c r="H13" s="125"/>
      <c r="I13" s="125"/>
      <c r="J13" s="125"/>
      <c r="K13" s="127">
        <f t="shared" si="0"/>
        <v>0</v>
      </c>
      <c r="L13" s="114"/>
      <c r="M13" s="119"/>
      <c r="N13" s="120"/>
      <c r="O13" s="126"/>
      <c r="P13" s="122">
        <f>M13+N13+O13</f>
        <v>0</v>
      </c>
      <c r="Q13" s="123"/>
      <c r="R13" s="52"/>
    </row>
    <row r="14" spans="1:21" ht="10.8" customHeight="1">
      <c r="A14" s="65"/>
      <c r="B14" s="66"/>
      <c r="C14" s="67"/>
      <c r="D14" s="67"/>
      <c r="E14" s="67"/>
      <c r="F14" s="67"/>
      <c r="G14" s="67"/>
      <c r="H14" s="67"/>
      <c r="I14" s="67"/>
      <c r="J14" s="67"/>
      <c r="K14" s="68"/>
      <c r="L14" s="69"/>
      <c r="M14" s="128"/>
      <c r="N14" s="70"/>
      <c r="O14" s="72"/>
      <c r="P14" s="83"/>
      <c r="Q14" s="129"/>
      <c r="R14" s="52"/>
    </row>
    <row r="15" spans="1:21" s="6" customFormat="1" ht="40.049999999999997" customHeight="1">
      <c r="A15" s="130" t="s">
        <v>23</v>
      </c>
      <c r="B15" s="131" t="s">
        <v>24</v>
      </c>
      <c r="C15" s="132"/>
      <c r="D15" s="133"/>
      <c r="E15" s="134"/>
      <c r="F15" s="134"/>
      <c r="G15" s="134"/>
      <c r="H15" s="134"/>
      <c r="I15" s="133"/>
      <c r="J15" s="135"/>
      <c r="K15" s="101">
        <f t="shared" si="0"/>
        <v>0</v>
      </c>
      <c r="L15" s="136"/>
      <c r="M15" s="137"/>
      <c r="N15" s="138"/>
      <c r="O15" s="139"/>
      <c r="P15" s="140">
        <v>0</v>
      </c>
      <c r="Q15" s="129"/>
      <c r="R15" s="52"/>
      <c r="S15" s="5"/>
      <c r="U15" s="64"/>
    </row>
    <row r="16" spans="1:21" s="6" customFormat="1" ht="40.049999999999997" customHeight="1">
      <c r="A16" s="141"/>
      <c r="B16" s="142"/>
      <c r="C16" s="143"/>
      <c r="D16" s="144"/>
      <c r="E16" s="145"/>
      <c r="F16" s="145"/>
      <c r="G16" s="145"/>
      <c r="H16" s="145"/>
      <c r="I16" s="146"/>
      <c r="J16" s="147"/>
      <c r="K16" s="127">
        <f t="shared" si="0"/>
        <v>0</v>
      </c>
      <c r="L16" s="148"/>
      <c r="M16" s="137"/>
      <c r="N16" s="138"/>
      <c r="O16" s="149"/>
      <c r="P16" s="150"/>
      <c r="Q16" s="3"/>
      <c r="R16" s="52"/>
      <c r="S16" s="5"/>
      <c r="U16" s="64"/>
    </row>
    <row r="17" spans="1:21" s="6" customFormat="1" ht="9.6" customHeight="1">
      <c r="A17" s="65"/>
      <c r="B17" s="151"/>
      <c r="C17" s="152"/>
      <c r="D17" s="152"/>
      <c r="E17" s="152"/>
      <c r="F17" s="152"/>
      <c r="G17" s="152"/>
      <c r="H17" s="152"/>
      <c r="I17" s="152"/>
      <c r="J17" s="152"/>
      <c r="K17" s="68"/>
      <c r="L17" s="153"/>
      <c r="M17" s="154"/>
      <c r="N17" s="128"/>
      <c r="O17" s="155"/>
      <c r="P17" s="155"/>
      <c r="Q17" s="3"/>
      <c r="R17" s="52"/>
      <c r="S17" s="5"/>
      <c r="U17" s="64"/>
    </row>
    <row r="18" spans="1:21" s="6" customFormat="1" ht="40.049999999999997" customHeight="1">
      <c r="A18" s="156" t="s">
        <v>25</v>
      </c>
      <c r="B18" s="157" t="s">
        <v>26</v>
      </c>
      <c r="C18" s="158">
        <f>C4+C5</f>
        <v>0</v>
      </c>
      <c r="D18" s="158">
        <f>D4+D5</f>
        <v>0</v>
      </c>
      <c r="E18" s="158">
        <f>E4+E5+E7</f>
        <v>0</v>
      </c>
      <c r="F18" s="158">
        <f>F4+F5+F7</f>
        <v>0</v>
      </c>
      <c r="G18" s="158">
        <f>G4+G5+G7</f>
        <v>0</v>
      </c>
      <c r="H18" s="158">
        <f>H4+H5+H7</f>
        <v>0</v>
      </c>
      <c r="I18" s="158">
        <f>I4+I5</f>
        <v>0</v>
      </c>
      <c r="J18" s="158">
        <f>SUM(J4:J7)</f>
        <v>0</v>
      </c>
      <c r="K18" s="78">
        <f t="shared" si="0"/>
        <v>0</v>
      </c>
      <c r="L18" s="159" t="s">
        <v>27</v>
      </c>
      <c r="M18" s="160"/>
      <c r="N18" s="161"/>
      <c r="O18" s="162"/>
      <c r="P18" s="155">
        <f t="shared" si="1"/>
        <v>0</v>
      </c>
      <c r="Q18" s="3"/>
      <c r="R18" s="52"/>
      <c r="S18" s="5"/>
      <c r="U18" s="64"/>
    </row>
    <row r="19" spans="1:21" s="6" customFormat="1" ht="40.049999999999997" customHeight="1">
      <c r="A19" s="163"/>
      <c r="B19" s="164"/>
      <c r="C19" s="165"/>
      <c r="D19" s="165"/>
      <c r="E19" s="165">
        <f>E9+E10+E11+E12+E13</f>
        <v>0</v>
      </c>
      <c r="F19" s="165">
        <f>F9+F10+F11+F12+F13</f>
        <v>0</v>
      </c>
      <c r="G19" s="165">
        <f>G9+G10+G11+G12+G13</f>
        <v>0</v>
      </c>
      <c r="H19" s="165">
        <f>H9+H10+H11+H12+H13</f>
        <v>0</v>
      </c>
      <c r="I19" s="165"/>
      <c r="J19" s="165">
        <f>J9+J10+J11+J12+J13</f>
        <v>0</v>
      </c>
      <c r="K19" s="113">
        <f>ROUND(J19*1.1,0)</f>
        <v>0</v>
      </c>
      <c r="L19" s="166" t="s">
        <v>28</v>
      </c>
      <c r="M19" s="167"/>
      <c r="N19" s="168"/>
      <c r="O19" s="169"/>
      <c r="P19" s="51">
        <f>M19+N19+O19</f>
        <v>0</v>
      </c>
      <c r="Q19" s="3"/>
      <c r="R19" s="52"/>
      <c r="S19" s="5"/>
      <c r="U19" s="64"/>
    </row>
    <row r="20" spans="1:21" s="6" customFormat="1" ht="40.049999999999997" customHeight="1" thickBot="1">
      <c r="A20" s="163"/>
      <c r="B20" s="170"/>
      <c r="C20" s="171"/>
      <c r="D20" s="171"/>
      <c r="E20" s="171">
        <f>SUM(E15:E16)</f>
        <v>0</v>
      </c>
      <c r="F20" s="171">
        <f>SUM(F15:F16)</f>
        <v>0</v>
      </c>
      <c r="G20" s="171">
        <f>SUM(G15:G16)</f>
        <v>0</v>
      </c>
      <c r="H20" s="171">
        <f>SUM(H15:H16)</f>
        <v>0</v>
      </c>
      <c r="I20" s="171"/>
      <c r="J20" s="171">
        <f>SUM(J15:J16)</f>
        <v>0</v>
      </c>
      <c r="K20" s="172">
        <f t="shared" si="0"/>
        <v>0</v>
      </c>
      <c r="L20" s="173" t="s">
        <v>34</v>
      </c>
      <c r="M20" s="174"/>
      <c r="N20" s="175"/>
      <c r="O20" s="176"/>
      <c r="P20" s="177">
        <f t="shared" si="1"/>
        <v>0</v>
      </c>
      <c r="Q20" s="3"/>
      <c r="R20" s="52"/>
      <c r="S20" s="5"/>
      <c r="U20" s="64"/>
    </row>
    <row r="21" spans="1:21" s="6" customFormat="1" ht="40.049999999999997" customHeight="1" thickTop="1" thickBot="1">
      <c r="A21" s="178"/>
      <c r="B21" s="179" t="s">
        <v>29</v>
      </c>
      <c r="C21" s="180"/>
      <c r="D21" s="180"/>
      <c r="E21" s="180">
        <f t="shared" ref="E21:K21" si="2">SUM(E18:E20)</f>
        <v>0</v>
      </c>
      <c r="F21" s="180">
        <f t="shared" si="2"/>
        <v>0</v>
      </c>
      <c r="G21" s="180">
        <f t="shared" si="2"/>
        <v>0</v>
      </c>
      <c r="H21" s="180">
        <f t="shared" si="2"/>
        <v>0</v>
      </c>
      <c r="I21" s="180">
        <f t="shared" si="2"/>
        <v>0</v>
      </c>
      <c r="J21" s="180">
        <f t="shared" si="2"/>
        <v>0</v>
      </c>
      <c r="K21" s="181">
        <f t="shared" si="2"/>
        <v>0</v>
      </c>
      <c r="L21" s="182"/>
      <c r="M21" s="180">
        <f>SUM(M4:M20)</f>
        <v>0</v>
      </c>
      <c r="N21" s="183">
        <f>SUM(N4:N20)</f>
        <v>0</v>
      </c>
      <c r="O21" s="184">
        <f>SUM(O4:O20)</f>
        <v>0</v>
      </c>
      <c r="P21" s="185">
        <f>M21+N21+O21</f>
        <v>0</v>
      </c>
      <c r="Q21" s="3"/>
      <c r="R21" s="52"/>
      <c r="S21" s="5"/>
      <c r="U21" s="64"/>
    </row>
    <row r="22" spans="1:21" s="6" customFormat="1" ht="53.4" customHeight="1">
      <c r="A22"/>
      <c r="B22" s="186" t="s">
        <v>30</v>
      </c>
      <c r="J22" s="6" t="s">
        <v>31</v>
      </c>
      <c r="K22" s="187"/>
      <c r="L22" s="188"/>
      <c r="O22" s="4"/>
      <c r="P22" s="189"/>
      <c r="Q22" s="3"/>
      <c r="R22" s="4"/>
      <c r="S22" s="5"/>
      <c r="U22" s="64"/>
    </row>
    <row r="23" spans="1:21">
      <c r="N23" s="4"/>
    </row>
    <row r="24" spans="1:21" ht="30" customHeight="1"/>
    <row r="26" spans="1:21">
      <c r="L26" s="192"/>
    </row>
    <row r="27" spans="1:21">
      <c r="L27" s="192"/>
    </row>
    <row r="44" spans="1:21" s="4" customFormat="1">
      <c r="A44"/>
      <c r="B44" s="190"/>
      <c r="C44" s="6"/>
      <c r="D44" s="6"/>
      <c r="E44" s="6"/>
      <c r="F44" s="6"/>
      <c r="G44" s="6"/>
      <c r="H44" s="6"/>
      <c r="I44" s="6"/>
      <c r="J44" s="6"/>
      <c r="K44" s="191"/>
      <c r="L44" s="188"/>
      <c r="M44" s="6"/>
      <c r="N44" s="4" t="s">
        <v>32</v>
      </c>
      <c r="O44" s="4" t="s">
        <v>33</v>
      </c>
      <c r="P44" s="189"/>
      <c r="Q44" s="3"/>
      <c r="S44" s="5"/>
      <c r="T44" s="6"/>
      <c r="U44" s="7"/>
    </row>
  </sheetData>
  <mergeCells count="27">
    <mergeCell ref="N15:N16"/>
    <mergeCell ref="O15:O16"/>
    <mergeCell ref="P15:P16"/>
    <mergeCell ref="A18:A21"/>
    <mergeCell ref="B19:B20"/>
    <mergeCell ref="A11:B11"/>
    <mergeCell ref="A12:B12"/>
    <mergeCell ref="A13:B13"/>
    <mergeCell ref="A15:A16"/>
    <mergeCell ref="B15:B16"/>
    <mergeCell ref="M15:M16"/>
    <mergeCell ref="M2:M3"/>
    <mergeCell ref="N2:N3"/>
    <mergeCell ref="Q2:Q3"/>
    <mergeCell ref="A7:B7"/>
    <mergeCell ref="A9:B9"/>
    <mergeCell ref="A10:B10"/>
    <mergeCell ref="A1:O1"/>
    <mergeCell ref="A2:A3"/>
    <mergeCell ref="B2:B3"/>
    <mergeCell ref="C2:D2"/>
    <mergeCell ref="E2:F2"/>
    <mergeCell ref="G2:H2"/>
    <mergeCell ref="I2:I3"/>
    <mergeCell ref="J2:J3"/>
    <mergeCell ref="K2:K3"/>
    <mergeCell ref="L2:L3"/>
  </mergeCells>
  <phoneticPr fontId="3"/>
  <conditionalFormatting sqref="E11:H13 L11:L13">
    <cfRule type="expression" dxfId="38" priority="25">
      <formula>COUNTIF(#REF!,"*済*")</formula>
    </cfRule>
    <cfRule type="expression" dxfId="37" priority="26">
      <formula>COUNTIF(#REF!,"*一部*")</formula>
    </cfRule>
    <cfRule type="expression" dxfId="36" priority="27">
      <formula>COUNTIF(#REF!,"*未*")</formula>
    </cfRule>
  </conditionalFormatting>
  <conditionalFormatting sqref="E15:H16">
    <cfRule type="expression" dxfId="35" priority="4">
      <formula>COUNTIF(#REF!,"*済*")</formula>
    </cfRule>
    <cfRule type="expression" dxfId="34" priority="5">
      <formula>COUNTIF(#REF!,"*一部*")</formula>
    </cfRule>
    <cfRule type="expression" dxfId="33" priority="6">
      <formula>COUNTIF(#REF!,"*未*")</formula>
    </cfRule>
  </conditionalFormatting>
  <conditionalFormatting sqref="E9:I10">
    <cfRule type="expression" dxfId="32" priority="28">
      <formula>COUNTIF(#REF!,"*済*")</formula>
    </cfRule>
    <cfRule type="expression" dxfId="31" priority="29">
      <formula>COUNTIF(#REF!,"*一部*")</formula>
    </cfRule>
    <cfRule type="expression" dxfId="30" priority="30">
      <formula>COUNTIF(#REF!,"*未*")</formula>
    </cfRule>
  </conditionalFormatting>
  <conditionalFormatting sqref="E7:J8 L7:M10 J9:J13 C15:C16">
    <cfRule type="expression" dxfId="29" priority="14">
      <formula>COUNTIF(#REF!,"*一部*")</formula>
    </cfRule>
    <cfRule type="expression" dxfId="28" priority="15">
      <formula>COUNTIF(#REF!,"*未*")</formula>
    </cfRule>
  </conditionalFormatting>
  <conditionalFormatting sqref="E9:J10">
    <cfRule type="expression" dxfId="25" priority="22">
      <formula>COUNTIF(#REF!,"*済*")</formula>
    </cfRule>
    <cfRule type="expression" dxfId="26" priority="23">
      <formula>COUNTIF(#REF!,"*一部*")</formula>
    </cfRule>
    <cfRule type="expression" dxfId="27" priority="24">
      <formula>COUNTIF(#REF!,"*未*")</formula>
    </cfRule>
  </conditionalFormatting>
  <conditionalFormatting sqref="F11:F13 H11:H13">
    <cfRule type="expression" dxfId="24" priority="31">
      <formula>COUNTIF(#REF!,"*済*")</formula>
    </cfRule>
    <cfRule type="expression" dxfId="23" priority="32">
      <formula>COUNTIF(#REF!,"*一部*")</formula>
    </cfRule>
    <cfRule type="expression" dxfId="22" priority="33">
      <formula>COUNTIF(#REF!,"*未*")</formula>
    </cfRule>
    <cfRule type="expression" dxfId="21" priority="34">
      <formula>COUNTIF(#REF!,"*済*")</formula>
    </cfRule>
    <cfRule type="expression" dxfId="20" priority="35">
      <formula>COUNTIF(#REF!,"*一部*")</formula>
    </cfRule>
    <cfRule type="expression" dxfId="19" priority="36">
      <formula>COUNTIF(#REF!,"*未*")</formula>
    </cfRule>
  </conditionalFormatting>
  <conditionalFormatting sqref="F15:F16 H15:H16">
    <cfRule type="expression" dxfId="18" priority="7">
      <formula>COUNTIF(#REF!,"*済*")</formula>
    </cfRule>
    <cfRule type="expression" dxfId="17" priority="8">
      <formula>COUNTIF(#REF!,"*一部*")</formula>
    </cfRule>
    <cfRule type="expression" dxfId="16" priority="9">
      <formula>COUNTIF(#REF!,"*未*")</formula>
    </cfRule>
    <cfRule type="expression" dxfId="15" priority="10">
      <formula>COUNTIF(#REF!,"*済*")</formula>
    </cfRule>
    <cfRule type="expression" dxfId="14" priority="11">
      <formula>COUNTIF(#REF!,"*一部*")</formula>
    </cfRule>
    <cfRule type="expression" dxfId="13" priority="12">
      <formula>COUNTIF(#REF!,"*未*")</formula>
    </cfRule>
  </conditionalFormatting>
  <conditionalFormatting sqref="J7:J13 E7:I8 L7:M10 C15:C16">
    <cfRule type="expression" dxfId="12" priority="13">
      <formula>COUNTIF(#REF!,"*済*")</formula>
    </cfRule>
  </conditionalFormatting>
  <conditionalFormatting sqref="J9:J13">
    <cfRule type="expression" dxfId="11" priority="1">
      <formula>COUNTIF(#REF!,"*済*")</formula>
    </cfRule>
    <cfRule type="expression" dxfId="10" priority="2">
      <formula>COUNTIF(#REF!,"*一部*")</formula>
    </cfRule>
    <cfRule type="expression" dxfId="9" priority="3">
      <formula>COUNTIF(#REF!,"*未*")</formula>
    </cfRule>
  </conditionalFormatting>
  <conditionalFormatting sqref="J11:J13">
    <cfRule type="expression" dxfId="8" priority="19">
      <formula>COUNTIF(#REF!,"*済*")</formula>
    </cfRule>
    <cfRule type="expression" dxfId="7" priority="20">
      <formula>COUNTIF(#REF!,"*一部*")</formula>
    </cfRule>
    <cfRule type="expression" dxfId="6" priority="21">
      <formula>COUNTIF(#REF!,"*未*")</formula>
    </cfRule>
  </conditionalFormatting>
  <conditionalFormatting sqref="L15:L16">
    <cfRule type="expression" dxfId="3" priority="16">
      <formula>COUNTIF(#REF!,"*済*")</formula>
    </cfRule>
    <cfRule type="expression" dxfId="4" priority="17">
      <formula>COUNTIF(#REF!,"*一部*")</formula>
    </cfRule>
    <cfRule type="expression" dxfId="5" priority="18">
      <formula>COUNTIF(#REF!,"*未*")</formula>
    </cfRule>
  </conditionalFormatting>
  <conditionalFormatting sqref="L9:M10">
    <cfRule type="expression" dxfId="2" priority="37">
      <formula>COUNTIF(#REF!,"*済*")</formula>
    </cfRule>
    <cfRule type="expression" dxfId="1" priority="38">
      <formula>COUNTIF(#REF!,"*一部*")</formula>
    </cfRule>
    <cfRule type="expression" dxfId="0" priority="39">
      <formula>COUNTIF(#REF!,"*未*")</formula>
    </cfRule>
  </conditionalFormatting>
  <printOptions horizontalCentered="1"/>
  <pageMargins left="0.70866141732283472" right="0.70866141732283472" top="0.19685039370078741" bottom="0.19685039370078741" header="0.31496062992125984" footer="0.31496062992125984"/>
  <pageSetup paperSize="9" scale="6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2026年8月度 売上  </vt:lpstr>
      <vt:lpstr>'2026年8月度 売上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真優 毛呂</dc:creator>
  <cp:lastModifiedBy>真優 毛呂</cp:lastModifiedBy>
  <dcterms:created xsi:type="dcterms:W3CDTF">2026-08-27T11:06:25Z</dcterms:created>
  <dcterms:modified xsi:type="dcterms:W3CDTF">2026-08-27T11:09:36Z</dcterms:modified>
</cp:coreProperties>
</file>