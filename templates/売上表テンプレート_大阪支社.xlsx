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f5789e9cc7bc8f/★★KPSデーター★★/売上表/"/>
    </mc:Choice>
  </mc:AlternateContent>
  <xr:revisionPtr revIDLastSave="3132" documentId="13_ncr:1_{F1457EC5-AB6C-4AFF-BCC1-F7D4AFC06003}" xr6:coauthVersionLast="47" xr6:coauthVersionMax="47" xr10:uidLastSave="{FF0BBFC4-761F-4C23-87CA-C8CF385776CF}"/>
  <bookViews>
    <workbookView xWindow="-108" yWindow="-108" windowWidth="23256" windowHeight="13896" xr2:uid="{952B18D2-8FDA-4910-A91B-8B677B3341E4}"/>
  </bookViews>
  <sheets>
    <sheet name="2026年8月度 売上  " sheetId="26" r:id="rId1"/>
    <sheet name="2026年7月度 売上  " sheetId="25" r:id="rId2"/>
    <sheet name="2026年6月度 売上  " sheetId="24" r:id="rId3"/>
    <sheet name="2026年5月度 売上 " sheetId="23" r:id="rId4"/>
    <sheet name="2026年4月度 売上" sheetId="22" r:id="rId5"/>
    <sheet name="2026年3月度 売上 " sheetId="12" r:id="rId6"/>
    <sheet name="2026年2月度 売上 " sheetId="11" r:id="rId7"/>
    <sheet name="2026年1月度 売上" sheetId="10" r:id="rId8"/>
    <sheet name="2025年12月度 売上" sheetId="9" r:id="rId9"/>
    <sheet name="2025年11月度 売上" sheetId="8" r:id="rId10"/>
    <sheet name="ｒ見本売上" sheetId="4" r:id="rId11"/>
    <sheet name="ｒ11月度meeting資料" sheetId="7" r:id="rId12"/>
    <sheet name="2025年　10月度 売上" sheetId="21" r:id="rId13"/>
    <sheet name="2025年9月度 売上" sheetId="20" r:id="rId14"/>
    <sheet name="2025年8月度 売上" sheetId="19" r:id="rId15"/>
    <sheet name="2025年7月度 売上" sheetId="18" r:id="rId16"/>
    <sheet name="2025年6月度 売上" sheetId="17" r:id="rId17"/>
    <sheet name="2025年5月度 売上" sheetId="16" r:id="rId18"/>
    <sheet name="2025年4月度 売上" sheetId="15" r:id="rId19"/>
  </sheets>
  <definedNames>
    <definedName name="_xlnm.Print_Area" localSheetId="9">'2025年11月度 売上'!$A$1:$M$23</definedName>
    <definedName name="_xlnm.Print_Area" localSheetId="8">'2025年12月度 売上'!$A$1:$M$17</definedName>
    <definedName name="_xlnm.Print_Area" localSheetId="13">'2025年9月度 売上'!$A$1:$M$30</definedName>
    <definedName name="_xlnm.Print_Area" localSheetId="7">'2026年1月度 売上'!$A$1:$M$20</definedName>
    <definedName name="_xlnm.Print_Area" localSheetId="6">'2026年2月度 売上 '!$A$1:$N$23</definedName>
    <definedName name="_xlnm.Print_Area" localSheetId="5">'2026年3月度 売上 '!$A$1:$M$20</definedName>
    <definedName name="_xlnm.Print_Area" localSheetId="4">'2026年4月度 売上'!$A$1:$M$21</definedName>
    <definedName name="_xlnm.Print_Area" localSheetId="3">'2026年5月度 売上 '!$A$1:$M$22</definedName>
    <definedName name="_xlnm.Print_Area" localSheetId="2">'2026年6月度 売上  '!$A$1:$M$24</definedName>
    <definedName name="_xlnm.Print_Area" localSheetId="1">'2026年7月度 売上  '!$A$1:$M$25</definedName>
    <definedName name="_xlnm.Print_Area" localSheetId="0">'2026年8月度 売上  '!$A$1:$O$21</definedName>
    <definedName name="_xlnm.Print_Area" localSheetId="11">'ｒ11月度meeting資料'!$A$1:$R$19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6" l="1"/>
  <c r="M25" i="25"/>
  <c r="C18" i="26" l="1"/>
  <c r="D18" i="26"/>
  <c r="E18" i="26"/>
  <c r="F18" i="26"/>
  <c r="G18" i="26"/>
  <c r="H18" i="26"/>
  <c r="I18" i="26"/>
  <c r="J19" i="26"/>
  <c r="P5" i="26" l="1"/>
  <c r="P4" i="26"/>
  <c r="J18" i="26"/>
  <c r="J4" i="26"/>
  <c r="H20" i="26"/>
  <c r="G20" i="26"/>
  <c r="H19" i="26"/>
  <c r="G19" i="26"/>
  <c r="H21" i="26"/>
  <c r="G21" i="26"/>
  <c r="K19" i="26"/>
  <c r="F19" i="26"/>
  <c r="E19" i="26"/>
  <c r="O21" i="26" l="1"/>
  <c r="N21" i="26"/>
  <c r="M21" i="26"/>
  <c r="P20" i="26"/>
  <c r="J20" i="26"/>
  <c r="K20" i="26" s="1"/>
  <c r="F20" i="26"/>
  <c r="E20" i="26"/>
  <c r="P19" i="26"/>
  <c r="P18" i="26"/>
  <c r="I21" i="26"/>
  <c r="K16" i="26"/>
  <c r="K15" i="26"/>
  <c r="P13" i="26"/>
  <c r="K13" i="26"/>
  <c r="P12" i="26"/>
  <c r="K12" i="26"/>
  <c r="P11" i="26"/>
  <c r="K11" i="26"/>
  <c r="P10" i="26"/>
  <c r="K10" i="26"/>
  <c r="P9" i="26"/>
  <c r="K9" i="26"/>
  <c r="P7" i="26"/>
  <c r="J7" i="26"/>
  <c r="K7" i="26" s="1"/>
  <c r="K5" i="26"/>
  <c r="Q4" i="26"/>
  <c r="I7" i="25"/>
  <c r="I9" i="25"/>
  <c r="I10" i="25"/>
  <c r="I12" i="25"/>
  <c r="I13" i="25"/>
  <c r="I14" i="25"/>
  <c r="I15" i="25"/>
  <c r="I16" i="25"/>
  <c r="I18" i="25"/>
  <c r="I19" i="25"/>
  <c r="I21" i="25"/>
  <c r="I23" i="25"/>
  <c r="I24" i="25"/>
  <c r="I5" i="25"/>
  <c r="I4" i="25"/>
  <c r="K18" i="26" l="1"/>
  <c r="K21" i="26" s="1"/>
  <c r="E21" i="26"/>
  <c r="F21" i="26"/>
  <c r="P21" i="26"/>
  <c r="K4" i="26"/>
  <c r="J21" i="26" l="1"/>
  <c r="I24" i="24"/>
  <c r="H5" i="25"/>
  <c r="H23" i="25"/>
  <c r="E21" i="25"/>
  <c r="E23" i="25" l="1"/>
  <c r="F23" i="25"/>
  <c r="G25" i="25"/>
  <c r="K25" i="25"/>
  <c r="L25" i="25"/>
  <c r="N16" i="25"/>
  <c r="N15" i="25"/>
  <c r="F21" i="25"/>
  <c r="N25" i="25" l="1"/>
  <c r="N23" i="25"/>
  <c r="E24" i="25"/>
  <c r="F24" i="25"/>
  <c r="H24" i="25"/>
  <c r="C21" i="25"/>
  <c r="D21" i="25"/>
  <c r="N10" i="25" l="1"/>
  <c r="N9" i="25"/>
  <c r="H22" i="25"/>
  <c r="I22" i="25" s="1"/>
  <c r="I25" i="25" s="1"/>
  <c r="F22" i="25"/>
  <c r="F25" i="25" s="1"/>
  <c r="E22" i="25"/>
  <c r="E25" i="25" s="1"/>
  <c r="N14" i="25" l="1"/>
  <c r="O4" i="25"/>
  <c r="H4" i="25" l="1"/>
  <c r="N24" i="25" l="1"/>
  <c r="N22" i="25"/>
  <c r="N21" i="25"/>
  <c r="G21" i="25"/>
  <c r="N18" i="25"/>
  <c r="N13" i="25"/>
  <c r="N12" i="25"/>
  <c r="N7" i="25"/>
  <c r="H7" i="25"/>
  <c r="N5" i="25"/>
  <c r="N4" i="25"/>
  <c r="M24" i="24"/>
  <c r="H21" i="24"/>
  <c r="H20" i="24"/>
  <c r="C20" i="24"/>
  <c r="G24" i="24"/>
  <c r="L24" i="24"/>
  <c r="K24" i="24"/>
  <c r="H21" i="25" l="1"/>
  <c r="H25" i="25" s="1"/>
  <c r="H4" i="24"/>
  <c r="H4" i="22" l="1"/>
  <c r="N21" i="24"/>
  <c r="N7" i="24"/>
  <c r="N10" i="24"/>
  <c r="N8" i="24"/>
  <c r="N5" i="24"/>
  <c r="F21" i="24"/>
  <c r="E21" i="24"/>
  <c r="I10" i="24"/>
  <c r="I21" i="24" s="1"/>
  <c r="F22" i="24"/>
  <c r="F24" i="24" s="1"/>
  <c r="H22" i="24"/>
  <c r="H24" i="24" s="1"/>
  <c r="N23" i="24" l="1"/>
  <c r="H23" i="24"/>
  <c r="F23" i="24"/>
  <c r="E23" i="24"/>
  <c r="N22" i="24"/>
  <c r="E22" i="24"/>
  <c r="E24" i="24" s="1"/>
  <c r="N20" i="24"/>
  <c r="G20" i="24"/>
  <c r="F20" i="24"/>
  <c r="E20" i="24"/>
  <c r="D20" i="24"/>
  <c r="I18" i="24"/>
  <c r="N17" i="24"/>
  <c r="I17" i="24"/>
  <c r="I23" i="24" s="1"/>
  <c r="N15" i="24"/>
  <c r="I15" i="24"/>
  <c r="N14" i="24"/>
  <c r="I14" i="24"/>
  <c r="N13" i="24"/>
  <c r="I13" i="24"/>
  <c r="N12" i="24"/>
  <c r="I12" i="24"/>
  <c r="H8" i="24"/>
  <c r="I8" i="24" s="1"/>
  <c r="H7" i="24"/>
  <c r="I7" i="24" s="1"/>
  <c r="H5" i="24"/>
  <c r="N4" i="24"/>
  <c r="I4" i="24"/>
  <c r="K22" i="23"/>
  <c r="L22" i="23"/>
  <c r="M22" i="23"/>
  <c r="N24" i="24" l="1"/>
  <c r="I22" i="24"/>
  <c r="I5" i="24"/>
  <c r="I20" i="24" s="1"/>
  <c r="I14" i="22" l="1"/>
  <c r="N22" i="23"/>
  <c r="C19" i="23"/>
  <c r="H20" i="23"/>
  <c r="H5" i="23" l="1"/>
  <c r="I5" i="23" s="1"/>
  <c r="N15" i="23" l="1"/>
  <c r="N21" i="22"/>
  <c r="G18" i="22" l="1"/>
  <c r="N4" i="11"/>
  <c r="I16" i="23"/>
  <c r="I15" i="23"/>
  <c r="I10" i="23"/>
  <c r="I15" i="22"/>
  <c r="E19" i="23" l="1"/>
  <c r="F19" i="23"/>
  <c r="H8" i="23"/>
  <c r="I8" i="23" s="1"/>
  <c r="E18" i="22"/>
  <c r="F18" i="22"/>
  <c r="N21" i="23"/>
  <c r="I21" i="23"/>
  <c r="H21" i="23"/>
  <c r="F21" i="23"/>
  <c r="E21" i="23"/>
  <c r="N20" i="23"/>
  <c r="F20" i="23"/>
  <c r="E20" i="23"/>
  <c r="N19" i="23"/>
  <c r="G19" i="23"/>
  <c r="G22" i="23" s="1"/>
  <c r="N13" i="23"/>
  <c r="I13" i="23"/>
  <c r="N12" i="23"/>
  <c r="I12" i="23"/>
  <c r="N11" i="23"/>
  <c r="I11" i="23"/>
  <c r="N10" i="23"/>
  <c r="H7" i="23"/>
  <c r="I7" i="23" s="1"/>
  <c r="N5" i="23"/>
  <c r="N4" i="23"/>
  <c r="H4" i="23"/>
  <c r="I5" i="22"/>
  <c r="H5" i="22"/>
  <c r="I20" i="23" l="1"/>
  <c r="E22" i="23"/>
  <c r="H19" i="23"/>
  <c r="H22" i="23" s="1"/>
  <c r="D19" i="23"/>
  <c r="F22" i="23"/>
  <c r="I4" i="23"/>
  <c r="I19" i="23" s="1"/>
  <c r="I22" i="23" s="1"/>
  <c r="E20" i="22"/>
  <c r="F20" i="22"/>
  <c r="H20" i="22"/>
  <c r="I20" i="22"/>
  <c r="H7" i="22"/>
  <c r="I7" i="22" l="1"/>
  <c r="R4" i="12"/>
  <c r="F19" i="22"/>
  <c r="E19" i="22"/>
  <c r="H19" i="22"/>
  <c r="N9" i="22"/>
  <c r="N11" i="22" l="1"/>
  <c r="I11" i="22"/>
  <c r="D4" i="22" l="1"/>
  <c r="I4" i="22" l="1"/>
  <c r="I18" i="22" s="1"/>
  <c r="H18" i="22"/>
  <c r="N20" i="22"/>
  <c r="N19" i="22"/>
  <c r="N18" i="22"/>
  <c r="D18" i="22"/>
  <c r="C18" i="22"/>
  <c r="N14" i="22"/>
  <c r="N12" i="22"/>
  <c r="I12" i="22"/>
  <c r="N10" i="22"/>
  <c r="I10" i="22"/>
  <c r="I9" i="22"/>
  <c r="I19" i="22" s="1"/>
  <c r="N5" i="22"/>
  <c r="N4" i="22"/>
  <c r="G21" i="22" l="1"/>
  <c r="E21" i="22"/>
  <c r="F21" i="22"/>
  <c r="H21" i="22"/>
  <c r="Q14" i="12"/>
  <c r="Q5" i="12"/>
  <c r="Q4" i="12"/>
  <c r="R14" i="12"/>
  <c r="R5" i="12"/>
  <c r="P20" i="12"/>
  <c r="N11" i="12"/>
  <c r="M19" i="12"/>
  <c r="N14" i="12"/>
  <c r="N5" i="12"/>
  <c r="O5" i="12" s="1"/>
  <c r="E19" i="12"/>
  <c r="H5" i="12" l="1"/>
  <c r="I21" i="22" l="1"/>
  <c r="D15" i="12"/>
  <c r="H15" i="12" s="1"/>
  <c r="D14" i="12"/>
  <c r="H14" i="12" s="1"/>
  <c r="M18" i="12"/>
  <c r="N4" i="12" l="1"/>
  <c r="O4" i="12" s="1"/>
  <c r="M31" i="21"/>
  <c r="L31" i="21"/>
  <c r="K31" i="21"/>
  <c r="G29" i="21"/>
  <c r="E29" i="21"/>
  <c r="D29" i="21"/>
  <c r="C29" i="21"/>
  <c r="G28" i="21"/>
  <c r="H28" i="21" s="1"/>
  <c r="I28" i="21" s="1"/>
  <c r="F28" i="21"/>
  <c r="E28" i="21"/>
  <c r="D28" i="21"/>
  <c r="C28" i="21"/>
  <c r="G27" i="21"/>
  <c r="F27" i="21"/>
  <c r="E27" i="21"/>
  <c r="G25" i="21"/>
  <c r="G31" i="21" s="1"/>
  <c r="E25" i="21"/>
  <c r="E31" i="21" s="1"/>
  <c r="D25" i="21"/>
  <c r="D31" i="21" s="1"/>
  <c r="C25" i="21"/>
  <c r="C31" i="21" s="1"/>
  <c r="D23" i="21"/>
  <c r="H23" i="21" s="1"/>
  <c r="I23" i="21" s="1"/>
  <c r="D22" i="21"/>
  <c r="H22" i="21" s="1"/>
  <c r="I22" i="21" s="1"/>
  <c r="N22" i="21" s="1"/>
  <c r="H20" i="21"/>
  <c r="I20" i="21" s="1"/>
  <c r="N20" i="21" s="1"/>
  <c r="I19" i="21"/>
  <c r="N19" i="21" s="1"/>
  <c r="H19" i="21"/>
  <c r="H18" i="21"/>
  <c r="H27" i="21" s="1"/>
  <c r="F17" i="21"/>
  <c r="H17" i="21" s="1"/>
  <c r="I17" i="21" s="1"/>
  <c r="F16" i="21"/>
  <c r="F29" i="21" s="1"/>
  <c r="F15" i="21"/>
  <c r="H15" i="21" s="1"/>
  <c r="I15" i="21" s="1"/>
  <c r="N15" i="21" s="1"/>
  <c r="F14" i="21"/>
  <c r="H14" i="21" s="1"/>
  <c r="I14" i="21" s="1"/>
  <c r="N14" i="21" s="1"/>
  <c r="N13" i="21"/>
  <c r="H13" i="21"/>
  <c r="F13" i="21"/>
  <c r="N12" i="21"/>
  <c r="H12" i="21"/>
  <c r="F12" i="21"/>
  <c r="F11" i="21"/>
  <c r="H11" i="21" s="1"/>
  <c r="I11" i="21" s="1"/>
  <c r="N11" i="21" s="1"/>
  <c r="F10" i="21"/>
  <c r="H10" i="21" s="1"/>
  <c r="I10" i="21" s="1"/>
  <c r="N10" i="21" s="1"/>
  <c r="H9" i="21"/>
  <c r="I9" i="21" s="1"/>
  <c r="N9" i="21" s="1"/>
  <c r="F9" i="21"/>
  <c r="F8" i="21"/>
  <c r="H8" i="21" s="1"/>
  <c r="I8" i="21" s="1"/>
  <c r="N8" i="21" s="1"/>
  <c r="F7" i="21"/>
  <c r="H7" i="21" s="1"/>
  <c r="I7" i="21" s="1"/>
  <c r="N7" i="21" s="1"/>
  <c r="H5" i="21"/>
  <c r="I5" i="21" s="1"/>
  <c r="N5" i="21" s="1"/>
  <c r="D5" i="21"/>
  <c r="F4" i="21"/>
  <c r="H4" i="21" s="1"/>
  <c r="D4" i="21"/>
  <c r="I4" i="21" l="1"/>
  <c r="N4" i="21" s="1"/>
  <c r="H25" i="21"/>
  <c r="H16" i="21"/>
  <c r="F25" i="21"/>
  <c r="F31" i="21" s="1"/>
  <c r="I18" i="21"/>
  <c r="I25" i="21" l="1"/>
  <c r="I27" i="21"/>
  <c r="N18" i="21"/>
  <c r="I16" i="21"/>
  <c r="H29" i="21"/>
  <c r="H31" i="21" s="1"/>
  <c r="N16" i="21" l="1"/>
  <c r="I29" i="21"/>
  <c r="I31" i="21" s="1"/>
  <c r="N31" i="21" s="1"/>
  <c r="M29" i="20" l="1"/>
  <c r="N29" i="20" s="1"/>
  <c r="L29" i="20"/>
  <c r="K29" i="20"/>
  <c r="C29" i="20"/>
  <c r="G26" i="20"/>
  <c r="E26" i="20"/>
  <c r="C26" i="20"/>
  <c r="H25" i="20"/>
  <c r="G25" i="20"/>
  <c r="F25" i="20"/>
  <c r="E25" i="20"/>
  <c r="E29" i="20" s="1"/>
  <c r="G23" i="20"/>
  <c r="G29" i="20" s="1"/>
  <c r="E23" i="20"/>
  <c r="D23" i="20"/>
  <c r="C23" i="20"/>
  <c r="F21" i="20"/>
  <c r="H21" i="20" s="1"/>
  <c r="I21" i="20" s="1"/>
  <c r="D21" i="20"/>
  <c r="F20" i="20"/>
  <c r="F26" i="20" s="1"/>
  <c r="D20" i="20"/>
  <c r="D26" i="20" s="1"/>
  <c r="D29" i="20" s="1"/>
  <c r="H17" i="20"/>
  <c r="I17" i="20" s="1"/>
  <c r="N17" i="20" s="1"/>
  <c r="H16" i="20"/>
  <c r="I16" i="20" s="1"/>
  <c r="H14" i="20"/>
  <c r="I14" i="20" s="1"/>
  <c r="N13" i="20"/>
  <c r="H13" i="20"/>
  <c r="N12" i="20"/>
  <c r="H12" i="20"/>
  <c r="F11" i="20"/>
  <c r="H11" i="20" s="1"/>
  <c r="I11" i="20" s="1"/>
  <c r="N11" i="20" s="1"/>
  <c r="F10" i="20"/>
  <c r="H10" i="20" s="1"/>
  <c r="I10" i="20" s="1"/>
  <c r="N10" i="20" s="1"/>
  <c r="F9" i="20"/>
  <c r="H9" i="20" s="1"/>
  <c r="I9" i="20" s="1"/>
  <c r="N9" i="20" s="1"/>
  <c r="F8" i="20"/>
  <c r="H8" i="20" s="1"/>
  <c r="I8" i="20" s="1"/>
  <c r="N8" i="20" s="1"/>
  <c r="F7" i="20"/>
  <c r="H7" i="20" s="1"/>
  <c r="I7" i="20" s="1"/>
  <c r="N7" i="20" s="1"/>
  <c r="H5" i="20"/>
  <c r="I5" i="20" s="1"/>
  <c r="N5" i="20" s="1"/>
  <c r="H4" i="20"/>
  <c r="I4" i="20" s="1"/>
  <c r="N4" i="20" s="1"/>
  <c r="N16" i="20" l="1"/>
  <c r="I25" i="20"/>
  <c r="F23" i="20"/>
  <c r="F29" i="20" s="1"/>
  <c r="H20" i="20"/>
  <c r="I20" i="20" l="1"/>
  <c r="I26" i="20" s="1"/>
  <c r="N20" i="20" s="1"/>
  <c r="H26" i="20"/>
  <c r="H29" i="20" s="1"/>
  <c r="M26" i="19" l="1"/>
  <c r="C26" i="19"/>
  <c r="G24" i="19"/>
  <c r="F24" i="19"/>
  <c r="E24" i="19"/>
  <c r="F23" i="19"/>
  <c r="E23" i="19"/>
  <c r="C23" i="19"/>
  <c r="F22" i="19"/>
  <c r="H22" i="19" s="1"/>
  <c r="E22" i="19"/>
  <c r="G20" i="19"/>
  <c r="G26" i="19" s="1"/>
  <c r="F20" i="19"/>
  <c r="F26" i="19" s="1"/>
  <c r="E20" i="19"/>
  <c r="E26" i="19" s="1"/>
  <c r="C20" i="19"/>
  <c r="F19" i="19"/>
  <c r="E19" i="19"/>
  <c r="C19" i="19"/>
  <c r="D18" i="19"/>
  <c r="D23" i="19" s="1"/>
  <c r="D17" i="19"/>
  <c r="H17" i="19" s="1"/>
  <c r="I17" i="19" s="1"/>
  <c r="F15" i="19"/>
  <c r="H15" i="19" s="1"/>
  <c r="H12" i="19"/>
  <c r="I12" i="19" s="1"/>
  <c r="N12" i="19" s="1"/>
  <c r="H11" i="19"/>
  <c r="I11" i="19" s="1"/>
  <c r="M9" i="19"/>
  <c r="F9" i="19"/>
  <c r="H9" i="19" s="1"/>
  <c r="I9" i="19" s="1"/>
  <c r="F8" i="19"/>
  <c r="H8" i="19" s="1"/>
  <c r="I8" i="19" s="1"/>
  <c r="N8" i="19" s="1"/>
  <c r="H7" i="19"/>
  <c r="I7" i="19" s="1"/>
  <c r="N7" i="19" s="1"/>
  <c r="F7" i="19"/>
  <c r="H5" i="19"/>
  <c r="I5" i="19" s="1"/>
  <c r="N5" i="19" s="1"/>
  <c r="D4" i="19"/>
  <c r="D20" i="19" s="1"/>
  <c r="N9" i="19" l="1"/>
  <c r="I22" i="19"/>
  <c r="N11" i="19"/>
  <c r="I15" i="19"/>
  <c r="H24" i="19"/>
  <c r="H23" i="19"/>
  <c r="H26" i="19" s="1"/>
  <c r="D26" i="19"/>
  <c r="H18" i="19"/>
  <c r="I18" i="19" s="1"/>
  <c r="I19" i="19" s="1"/>
  <c r="I23" i="19" s="1"/>
  <c r="H4" i="19"/>
  <c r="I4" i="19" s="1"/>
  <c r="N4" i="19" s="1"/>
  <c r="D19" i="19"/>
  <c r="H19" i="19" s="1"/>
  <c r="N15" i="19" l="1"/>
  <c r="I24" i="19"/>
  <c r="I26" i="19"/>
  <c r="N26" i="19" s="1"/>
  <c r="M27" i="18" l="1"/>
  <c r="L27" i="18"/>
  <c r="K27" i="18"/>
  <c r="C27" i="18"/>
  <c r="E24" i="18"/>
  <c r="C24" i="18"/>
  <c r="G23" i="18"/>
  <c r="F23" i="18"/>
  <c r="E23" i="18"/>
  <c r="E27" i="18" s="1"/>
  <c r="G21" i="18"/>
  <c r="G27" i="18" s="1"/>
  <c r="F21" i="18"/>
  <c r="F27" i="18" s="1"/>
  <c r="E21" i="18"/>
  <c r="C21" i="18"/>
  <c r="E20" i="18"/>
  <c r="C20" i="18"/>
  <c r="F19" i="18"/>
  <c r="H19" i="18" s="1"/>
  <c r="I19" i="18" s="1"/>
  <c r="D19" i="18"/>
  <c r="F18" i="18"/>
  <c r="H18" i="18" s="1"/>
  <c r="I18" i="18" s="1"/>
  <c r="D18" i="18"/>
  <c r="F17" i="18"/>
  <c r="F24" i="18" s="1"/>
  <c r="H24" i="18" s="1"/>
  <c r="D17" i="18"/>
  <c r="D24" i="18" s="1"/>
  <c r="H15" i="18"/>
  <c r="I15" i="18" s="1"/>
  <c r="N15" i="18" s="1"/>
  <c r="H14" i="18"/>
  <c r="I14" i="18" s="1"/>
  <c r="N14" i="18" s="1"/>
  <c r="H13" i="18"/>
  <c r="I13" i="18" s="1"/>
  <c r="N13" i="18" s="1"/>
  <c r="H12" i="18"/>
  <c r="H23" i="18" s="1"/>
  <c r="D10" i="18"/>
  <c r="H9" i="18"/>
  <c r="I9" i="18" s="1"/>
  <c r="F9" i="18"/>
  <c r="D9" i="18"/>
  <c r="D21" i="18" s="1"/>
  <c r="F8" i="18"/>
  <c r="H8" i="18" s="1"/>
  <c r="I8" i="18" s="1"/>
  <c r="N8" i="18" s="1"/>
  <c r="F7" i="18"/>
  <c r="H7" i="18" s="1"/>
  <c r="I7" i="18" s="1"/>
  <c r="N7" i="18" s="1"/>
  <c r="I5" i="18"/>
  <c r="N5" i="18" s="1"/>
  <c r="H5" i="18"/>
  <c r="D5" i="18"/>
  <c r="H4" i="18"/>
  <c r="I4" i="18" s="1"/>
  <c r="N4" i="18" s="1"/>
  <c r="D27" i="18" l="1"/>
  <c r="H27" i="18"/>
  <c r="I12" i="18"/>
  <c r="D20" i="18"/>
  <c r="H17" i="18"/>
  <c r="I17" i="18" s="1"/>
  <c r="I20" i="18" s="1"/>
  <c r="I24" i="18" s="1"/>
  <c r="F20" i="18"/>
  <c r="H20" i="18" s="1"/>
  <c r="N12" i="18" l="1"/>
  <c r="I23" i="18"/>
  <c r="I27" i="18" s="1"/>
  <c r="N27" i="18" s="1"/>
  <c r="M29" i="17" l="1"/>
  <c r="L29" i="17"/>
  <c r="K29" i="17"/>
  <c r="G26" i="17"/>
  <c r="G25" i="17"/>
  <c r="F25" i="17"/>
  <c r="E25" i="17"/>
  <c r="G23" i="17"/>
  <c r="G29" i="17" s="1"/>
  <c r="E23" i="17"/>
  <c r="C23" i="17"/>
  <c r="F21" i="17"/>
  <c r="F26" i="17" s="1"/>
  <c r="E21" i="17"/>
  <c r="E26" i="17" s="1"/>
  <c r="D21" i="17"/>
  <c r="D26" i="17" s="1"/>
  <c r="C21" i="17"/>
  <c r="C26" i="17" s="1"/>
  <c r="C29" i="17" s="1"/>
  <c r="D20" i="17"/>
  <c r="H20" i="17" s="1"/>
  <c r="I20" i="17" s="1"/>
  <c r="D19" i="17"/>
  <c r="H19" i="17" s="1"/>
  <c r="I19" i="17" s="1"/>
  <c r="D18" i="17"/>
  <c r="H18" i="17" s="1"/>
  <c r="I16" i="17"/>
  <c r="N16" i="17" s="1"/>
  <c r="H16" i="17"/>
  <c r="I15" i="17"/>
  <c r="N15" i="17" s="1"/>
  <c r="H15" i="17"/>
  <c r="H25" i="17" s="1"/>
  <c r="I14" i="17"/>
  <c r="N14" i="17" s="1"/>
  <c r="F12" i="17"/>
  <c r="H12" i="17" s="1"/>
  <c r="I12" i="17" s="1"/>
  <c r="N11" i="17"/>
  <c r="N10" i="17"/>
  <c r="F9" i="17"/>
  <c r="H9" i="17" s="1"/>
  <c r="I9" i="17" s="1"/>
  <c r="N9" i="17" s="1"/>
  <c r="F8" i="17"/>
  <c r="H8" i="17" s="1"/>
  <c r="I8" i="17" s="1"/>
  <c r="N8" i="17" s="1"/>
  <c r="F7" i="17"/>
  <c r="F23" i="17" s="1"/>
  <c r="I5" i="17"/>
  <c r="N5" i="17" s="1"/>
  <c r="H5" i="17"/>
  <c r="D4" i="17"/>
  <c r="H4" i="17" s="1"/>
  <c r="H23" i="17" l="1"/>
  <c r="I4" i="17"/>
  <c r="E29" i="17"/>
  <c r="I18" i="17"/>
  <c r="H21" i="17"/>
  <c r="F29" i="17"/>
  <c r="H7" i="17"/>
  <c r="I7" i="17" s="1"/>
  <c r="N7" i="17" s="1"/>
  <c r="I25" i="17"/>
  <c r="D23" i="17"/>
  <c r="D29" i="17" s="1"/>
  <c r="N4" i="17" l="1"/>
  <c r="I23" i="17"/>
  <c r="H26" i="17"/>
  <c r="H29" i="17" s="1"/>
  <c r="I21" i="17"/>
  <c r="I26" i="17" s="1"/>
  <c r="I29" i="17" l="1"/>
  <c r="N29" i="17" s="1"/>
  <c r="M28" i="16" l="1"/>
  <c r="L28" i="16"/>
  <c r="K28" i="16"/>
  <c r="C28" i="16"/>
  <c r="F25" i="16"/>
  <c r="E25" i="16"/>
  <c r="C25" i="16"/>
  <c r="F24" i="16"/>
  <c r="H24" i="16" s="1"/>
  <c r="I24" i="16" s="1"/>
  <c r="E24" i="16"/>
  <c r="G22" i="16"/>
  <c r="G28" i="16" s="1"/>
  <c r="E22" i="16"/>
  <c r="E28" i="16" s="1"/>
  <c r="C22" i="16"/>
  <c r="E21" i="16"/>
  <c r="C21" i="16"/>
  <c r="D20" i="16"/>
  <c r="D21" i="16" s="1"/>
  <c r="H19" i="16"/>
  <c r="I19" i="16" s="1"/>
  <c r="D19" i="16"/>
  <c r="F18" i="16"/>
  <c r="H18" i="16" s="1"/>
  <c r="I18" i="16" s="1"/>
  <c r="D18" i="16"/>
  <c r="D25" i="16" s="1"/>
  <c r="H16" i="16"/>
  <c r="I16" i="16" s="1"/>
  <c r="H15" i="16"/>
  <c r="I15" i="16" s="1"/>
  <c r="N15" i="16" s="1"/>
  <c r="I14" i="16"/>
  <c r="N14" i="16" s="1"/>
  <c r="H14" i="16"/>
  <c r="H13" i="16"/>
  <c r="I13" i="16" s="1"/>
  <c r="N13" i="16" s="1"/>
  <c r="F11" i="16"/>
  <c r="H11" i="16" s="1"/>
  <c r="I11" i="16" s="1"/>
  <c r="F10" i="16"/>
  <c r="F22" i="16" s="1"/>
  <c r="F28" i="16" s="1"/>
  <c r="H8" i="16"/>
  <c r="I8" i="16" s="1"/>
  <c r="N8" i="16" s="1"/>
  <c r="H7" i="16"/>
  <c r="I7" i="16" s="1"/>
  <c r="N7" i="16" s="1"/>
  <c r="H5" i="16"/>
  <c r="I5" i="16" s="1"/>
  <c r="N5" i="16" s="1"/>
  <c r="D4" i="16"/>
  <c r="H4" i="16" s="1"/>
  <c r="I4" i="16" l="1"/>
  <c r="N4" i="16" s="1"/>
  <c r="H25" i="16"/>
  <c r="I25" i="16" s="1"/>
  <c r="I28" i="16" s="1"/>
  <c r="N28" i="16" s="1"/>
  <c r="D22" i="16"/>
  <c r="D28" i="16" s="1"/>
  <c r="H28" i="16" s="1"/>
  <c r="H10" i="16"/>
  <c r="I10" i="16" s="1"/>
  <c r="N10" i="16" s="1"/>
  <c r="H20" i="16"/>
  <c r="I20" i="16" s="1"/>
  <c r="I21" i="16" s="1"/>
  <c r="F21" i="16"/>
  <c r="H21" i="16" s="1"/>
  <c r="H22" i="16" l="1"/>
  <c r="M28" i="15" l="1"/>
  <c r="L28" i="15"/>
  <c r="K28" i="15"/>
  <c r="G28" i="15"/>
  <c r="C28" i="15"/>
  <c r="F26" i="15"/>
  <c r="H26" i="15" s="1"/>
  <c r="I26" i="15" s="1"/>
  <c r="E26" i="15"/>
  <c r="F25" i="15"/>
  <c r="E25" i="15"/>
  <c r="C25" i="15"/>
  <c r="F24" i="15"/>
  <c r="H24" i="15" s="1"/>
  <c r="I24" i="15" s="1"/>
  <c r="E24" i="15"/>
  <c r="E28" i="15" s="1"/>
  <c r="G22" i="15"/>
  <c r="E22" i="15"/>
  <c r="C22" i="15"/>
  <c r="G21" i="15"/>
  <c r="H21" i="15" s="1"/>
  <c r="F21" i="15"/>
  <c r="E21" i="15"/>
  <c r="D21" i="15"/>
  <c r="C21" i="15"/>
  <c r="D20" i="15"/>
  <c r="H20" i="15" s="1"/>
  <c r="I20" i="15" s="1"/>
  <c r="D19" i="15"/>
  <c r="H19" i="15" s="1"/>
  <c r="I19" i="15" s="1"/>
  <c r="D18" i="15"/>
  <c r="D25" i="15" s="1"/>
  <c r="H17" i="15"/>
  <c r="I17" i="15" s="1"/>
  <c r="N17" i="15" s="1"/>
  <c r="F17" i="15"/>
  <c r="H15" i="15"/>
  <c r="I15" i="15" s="1"/>
  <c r="N15" i="15" s="1"/>
  <c r="H14" i="15"/>
  <c r="I14" i="15" s="1"/>
  <c r="N14" i="15" s="1"/>
  <c r="H13" i="15"/>
  <c r="I13" i="15" s="1"/>
  <c r="N13" i="15" s="1"/>
  <c r="I12" i="15"/>
  <c r="N12" i="15" s="1"/>
  <c r="H12" i="15"/>
  <c r="I10" i="15"/>
  <c r="N10" i="15" s="1"/>
  <c r="F10" i="15"/>
  <c r="I9" i="15"/>
  <c r="N9" i="15" s="1"/>
  <c r="F9" i="15"/>
  <c r="I8" i="15"/>
  <c r="N8" i="15" s="1"/>
  <c r="F8" i="15"/>
  <c r="F22" i="15" s="1"/>
  <c r="I7" i="15"/>
  <c r="N7" i="15" s="1"/>
  <c r="F7" i="15"/>
  <c r="D5" i="15"/>
  <c r="D22" i="15" s="1"/>
  <c r="H4" i="15"/>
  <c r="I4" i="15" s="1"/>
  <c r="N5" i="11"/>
  <c r="N7" i="11"/>
  <c r="N9" i="11"/>
  <c r="N11" i="11"/>
  <c r="N12" i="11"/>
  <c r="N13" i="11"/>
  <c r="N15" i="11"/>
  <c r="D17" i="12"/>
  <c r="E17" i="12"/>
  <c r="F17" i="12"/>
  <c r="G17" i="12"/>
  <c r="C17" i="12"/>
  <c r="D18" i="12"/>
  <c r="E18" i="12"/>
  <c r="F18" i="12"/>
  <c r="G18" i="12"/>
  <c r="H18" i="12"/>
  <c r="C18" i="12"/>
  <c r="G19" i="12"/>
  <c r="C19" i="12"/>
  <c r="N7" i="12"/>
  <c r="N8" i="12"/>
  <c r="N9" i="12"/>
  <c r="N19" i="12"/>
  <c r="M17" i="12"/>
  <c r="F28" i="15" l="1"/>
  <c r="H22" i="15"/>
  <c r="I22" i="15" s="1"/>
  <c r="I21" i="15"/>
  <c r="H25" i="15"/>
  <c r="I25" i="15" s="1"/>
  <c r="D28" i="15"/>
  <c r="H18" i="15"/>
  <c r="I18" i="15" s="1"/>
  <c r="H5" i="15"/>
  <c r="I5" i="15" s="1"/>
  <c r="N5" i="15" s="1"/>
  <c r="H28" i="15" l="1"/>
  <c r="I28" i="15"/>
  <c r="N28" i="15" s="1"/>
  <c r="D12" i="12" l="1"/>
  <c r="H12" i="12" s="1"/>
  <c r="F11" i="12"/>
  <c r="D11" i="12"/>
  <c r="H11" i="12" l="1"/>
  <c r="D19" i="12"/>
  <c r="F19" i="12"/>
  <c r="I12" i="12"/>
  <c r="H19" i="12" l="1"/>
  <c r="I11" i="12"/>
  <c r="R11" i="12" l="1"/>
  <c r="Q11" i="12"/>
  <c r="I19" i="12"/>
  <c r="G20" i="12"/>
  <c r="L18" i="12"/>
  <c r="K18" i="12"/>
  <c r="N18" i="12" s="1"/>
  <c r="F20" i="12"/>
  <c r="E20" i="12"/>
  <c r="M20" i="12"/>
  <c r="L17" i="12"/>
  <c r="K17" i="12"/>
  <c r="N17" i="12" s="1"/>
  <c r="I9" i="12"/>
  <c r="I8" i="12"/>
  <c r="I7" i="12"/>
  <c r="H4" i="12"/>
  <c r="I13" i="11"/>
  <c r="I12" i="11"/>
  <c r="I11" i="11"/>
  <c r="O9" i="12" l="1"/>
  <c r="Q9" i="12"/>
  <c r="R9" i="12"/>
  <c r="O19" i="12"/>
  <c r="R19" i="12"/>
  <c r="Q19" i="12"/>
  <c r="Q7" i="12"/>
  <c r="R7" i="12"/>
  <c r="O7" i="12"/>
  <c r="R8" i="12"/>
  <c r="O8" i="12"/>
  <c r="Q8" i="12"/>
  <c r="H17" i="12"/>
  <c r="I18" i="12"/>
  <c r="K20" i="12"/>
  <c r="L20" i="12"/>
  <c r="N20" i="12" s="1"/>
  <c r="I17" i="12"/>
  <c r="O17" i="12" l="1"/>
  <c r="R17" i="12"/>
  <c r="Q17" i="12"/>
  <c r="O18" i="12"/>
  <c r="R18" i="12"/>
  <c r="Q18" i="12"/>
  <c r="I20" i="12"/>
  <c r="H20" i="12"/>
  <c r="L20" i="11"/>
  <c r="M20" i="11"/>
  <c r="K20" i="11"/>
  <c r="L19" i="11"/>
  <c r="M19" i="11"/>
  <c r="K19" i="11"/>
  <c r="N19" i="11" s="1"/>
  <c r="M18" i="11"/>
  <c r="L18" i="11"/>
  <c r="K18" i="11"/>
  <c r="N18" i="11" s="1"/>
  <c r="H9" i="11"/>
  <c r="I9" i="11" s="1"/>
  <c r="Q9" i="11"/>
  <c r="O20" i="12" l="1"/>
  <c r="R20" i="12"/>
  <c r="Q20" i="12"/>
  <c r="N20" i="11"/>
  <c r="R9" i="11"/>
  <c r="U9" i="11"/>
  <c r="U10" i="11"/>
  <c r="U8" i="11"/>
  <c r="H16" i="11"/>
  <c r="I16" i="11" s="1"/>
  <c r="D5" i="11"/>
  <c r="H5" i="11" s="1"/>
  <c r="O16" i="11" l="1"/>
  <c r="F15" i="11"/>
  <c r="O15" i="11" s="1"/>
  <c r="H19" i="11"/>
  <c r="G21" i="11"/>
  <c r="F19" i="11"/>
  <c r="F21" i="11" s="1"/>
  <c r="E19" i="11"/>
  <c r="E21" i="11" s="1"/>
  <c r="U12" i="11"/>
  <c r="U13" i="11"/>
  <c r="D4" i="11"/>
  <c r="P20" i="11"/>
  <c r="O20" i="11"/>
  <c r="U20" i="11"/>
  <c r="L21" i="11"/>
  <c r="U17" i="11"/>
  <c r="Q17" i="11"/>
  <c r="S17" i="11" s="1"/>
  <c r="Q16" i="11"/>
  <c r="Q15" i="11"/>
  <c r="U14" i="11"/>
  <c r="T14" i="11"/>
  <c r="Q14" i="11"/>
  <c r="R14" i="11" s="1"/>
  <c r="Q13" i="11"/>
  <c r="O13" i="11"/>
  <c r="P12" i="11"/>
  <c r="O12" i="11"/>
  <c r="U11" i="11"/>
  <c r="T11" i="11"/>
  <c r="Q11" i="11"/>
  <c r="R11" i="11" s="1"/>
  <c r="P11" i="11"/>
  <c r="O11" i="11"/>
  <c r="X11" i="11"/>
  <c r="U7" i="11"/>
  <c r="T7" i="11"/>
  <c r="Q7" i="11"/>
  <c r="R7" i="11" s="1"/>
  <c r="P7" i="11"/>
  <c r="O7" i="11"/>
  <c r="I7" i="11"/>
  <c r="X7" i="11" s="1"/>
  <c r="U6" i="11"/>
  <c r="U5" i="11"/>
  <c r="T5" i="11"/>
  <c r="Q5" i="11"/>
  <c r="R5" i="11" s="1"/>
  <c r="I5" i="11"/>
  <c r="X5" i="11" s="1"/>
  <c r="T4" i="11"/>
  <c r="Q4" i="11"/>
  <c r="O4" i="11"/>
  <c r="K20" i="10"/>
  <c r="L20" i="10"/>
  <c r="M18" i="10"/>
  <c r="K18" i="10"/>
  <c r="K17" i="10"/>
  <c r="L17" i="10"/>
  <c r="M17" i="10"/>
  <c r="M20" i="10" s="1"/>
  <c r="M19" i="10"/>
  <c r="K19" i="10"/>
  <c r="G20" i="10"/>
  <c r="F18" i="10"/>
  <c r="E18" i="10"/>
  <c r="H18" i="10"/>
  <c r="H20" i="10" s="1"/>
  <c r="X12" i="11" l="1"/>
  <c r="M21" i="11"/>
  <c r="H15" i="11"/>
  <c r="I15" i="11" s="1"/>
  <c r="X16" i="11" s="1"/>
  <c r="S16" i="11"/>
  <c r="U19" i="11"/>
  <c r="R19" i="11"/>
  <c r="S19" i="11"/>
  <c r="X13" i="11"/>
  <c r="P13" i="11"/>
  <c r="R13" i="11"/>
  <c r="H4" i="11"/>
  <c r="H18" i="11" s="1"/>
  <c r="K21" i="11"/>
  <c r="N21" i="11" s="1"/>
  <c r="R16" i="11"/>
  <c r="Q18" i="11"/>
  <c r="R17" i="11"/>
  <c r="T11" i="10"/>
  <c r="P11" i="10"/>
  <c r="Q11" i="10" s="1"/>
  <c r="O11" i="10"/>
  <c r="N11" i="10"/>
  <c r="I11" i="10"/>
  <c r="W11" i="10" s="1"/>
  <c r="I5" i="10"/>
  <c r="O7" i="10"/>
  <c r="N12" i="10"/>
  <c r="I19" i="11" l="1"/>
  <c r="U15" i="11"/>
  <c r="P15" i="11"/>
  <c r="U16" i="11"/>
  <c r="P16" i="11"/>
  <c r="I4" i="11"/>
  <c r="I18" i="11" s="1"/>
  <c r="P4" i="11"/>
  <c r="U4" i="11"/>
  <c r="R4" i="11"/>
  <c r="O10" i="10"/>
  <c r="O12" i="10"/>
  <c r="N14" i="10"/>
  <c r="N15" i="10"/>
  <c r="O9" i="10"/>
  <c r="X4" i="11" l="1"/>
  <c r="S18" i="11"/>
  <c r="R18" i="11"/>
  <c r="H21" i="11"/>
  <c r="U21" i="11" s="1"/>
  <c r="U18" i="11"/>
  <c r="I21" i="11"/>
  <c r="N10" i="10"/>
  <c r="D19" i="10" l="1"/>
  <c r="E19" i="10"/>
  <c r="E20" i="10" s="1"/>
  <c r="F19" i="10"/>
  <c r="C19" i="10"/>
  <c r="O19" i="10" s="1"/>
  <c r="O14" i="10"/>
  <c r="O15" i="10"/>
  <c r="N4" i="10"/>
  <c r="H4" i="10"/>
  <c r="O4" i="10" s="1"/>
  <c r="N19" i="10" l="1"/>
  <c r="F20" i="10"/>
  <c r="I4" i="10"/>
  <c r="R18" i="10"/>
  <c r="Q18" i="10"/>
  <c r="P17" i="10"/>
  <c r="R17" i="10" s="1"/>
  <c r="P16" i="10"/>
  <c r="R16" i="10" s="1"/>
  <c r="P15" i="10"/>
  <c r="R15" i="10" s="1"/>
  <c r="P14" i="10"/>
  <c r="S13" i="10"/>
  <c r="P13" i="10"/>
  <c r="Q13" i="10" s="1"/>
  <c r="P12" i="10"/>
  <c r="Q12" i="10" s="1"/>
  <c r="S9" i="10"/>
  <c r="P9" i="10"/>
  <c r="Q9" i="10" s="1"/>
  <c r="N9" i="10"/>
  <c r="P8" i="10"/>
  <c r="Q8" i="10" s="1"/>
  <c r="S7" i="10"/>
  <c r="P7" i="10"/>
  <c r="Q7" i="10" s="1"/>
  <c r="N7" i="10"/>
  <c r="S5" i="10"/>
  <c r="P5" i="10"/>
  <c r="Q5" i="10" s="1"/>
  <c r="S4" i="10"/>
  <c r="P4" i="10"/>
  <c r="Q4" i="10" s="1"/>
  <c r="M17" i="9"/>
  <c r="L17" i="9"/>
  <c r="K17" i="9"/>
  <c r="D17" i="9"/>
  <c r="E17" i="9"/>
  <c r="F17" i="9"/>
  <c r="G17" i="9"/>
  <c r="C17" i="9"/>
  <c r="N5" i="8"/>
  <c r="N7" i="8"/>
  <c r="N9" i="8"/>
  <c r="N10" i="8"/>
  <c r="N11" i="8"/>
  <c r="N13" i="8"/>
  <c r="N14" i="8"/>
  <c r="N16" i="8"/>
  <c r="N4" i="8"/>
  <c r="I17" i="10" l="1"/>
  <c r="Q15" i="10"/>
  <c r="Q16" i="10"/>
  <c r="Q17" i="10"/>
  <c r="O16" i="9"/>
  <c r="O14" i="9"/>
  <c r="Q7" i="9"/>
  <c r="Q8" i="9"/>
  <c r="Q12" i="9"/>
  <c r="P5" i="9"/>
  <c r="P7" i="9"/>
  <c r="P8" i="9"/>
  <c r="P9" i="9"/>
  <c r="Q9" i="9" s="1"/>
  <c r="P11" i="9"/>
  <c r="Q11" i="9" s="1"/>
  <c r="P12" i="9"/>
  <c r="P13" i="9"/>
  <c r="P14" i="9"/>
  <c r="Q14" i="9" s="1"/>
  <c r="P16" i="9"/>
  <c r="Q16" i="9" s="1"/>
  <c r="P4" i="9"/>
  <c r="Q4" i="9" s="1"/>
  <c r="N5" i="9"/>
  <c r="N7" i="9"/>
  <c r="N8" i="9"/>
  <c r="N9" i="9"/>
  <c r="N11" i="9"/>
  <c r="N12" i="9"/>
  <c r="N14" i="9"/>
  <c r="N15" i="9"/>
  <c r="N16" i="9"/>
  <c r="N4" i="9"/>
  <c r="I17" i="9"/>
  <c r="H17" i="9"/>
  <c r="Q17" i="9" s="1"/>
  <c r="I12" i="10"/>
  <c r="I7" i="10"/>
  <c r="T13" i="10" l="1"/>
  <c r="T14" i="10"/>
  <c r="T15" i="10"/>
  <c r="T16" i="10"/>
  <c r="T17" i="10"/>
  <c r="T18" i="10"/>
  <c r="T19" i="10"/>
  <c r="T20" i="10"/>
  <c r="T4" i="10"/>
  <c r="T5" i="10"/>
  <c r="T6" i="10"/>
  <c r="T7" i="10"/>
  <c r="T8" i="10"/>
  <c r="T10" i="10"/>
  <c r="T12" i="10"/>
  <c r="T9" i="10"/>
  <c r="W7" i="10"/>
  <c r="I10" i="10" l="1"/>
  <c r="I9" i="10"/>
  <c r="I18" i="10" s="1"/>
  <c r="I20" i="10" s="1"/>
  <c r="M15" i="9" l="1"/>
  <c r="L15" i="9" l="1"/>
  <c r="P15" i="9" s="1"/>
  <c r="K15" i="9"/>
  <c r="R15" i="9" l="1"/>
  <c r="Q15" i="9"/>
  <c r="H5" i="9"/>
  <c r="W15" i="10"/>
  <c r="W10" i="10"/>
  <c r="W9" i="10"/>
  <c r="W5" i="10"/>
  <c r="W4" i="10"/>
  <c r="I5" i="9" l="1"/>
  <c r="Q5" i="9"/>
  <c r="W12" i="10"/>
  <c r="O19" i="8"/>
  <c r="P19" i="8" s="1"/>
  <c r="O20" i="8"/>
  <c r="P20" i="8" s="1"/>
  <c r="O21" i="8"/>
  <c r="P21" i="8" s="1"/>
  <c r="O22" i="8"/>
  <c r="P22" i="8" s="1"/>
  <c r="O18" i="8"/>
  <c r="I12" i="9" l="1"/>
  <c r="I11" i="9"/>
  <c r="R16" i="9" l="1"/>
  <c r="R14" i="9"/>
  <c r="S12" i="9"/>
  <c r="S9" i="9"/>
  <c r="I9" i="9"/>
  <c r="I8" i="9"/>
  <c r="S7" i="9"/>
  <c r="I7" i="9"/>
  <c r="S5" i="9"/>
  <c r="S4" i="9"/>
  <c r="I4" i="9"/>
  <c r="R17" i="9" l="1"/>
  <c r="M23" i="8"/>
  <c r="L23" i="8"/>
  <c r="K23" i="8"/>
  <c r="O23" i="8" s="1"/>
  <c r="H18" i="8" l="1"/>
  <c r="C18" i="8"/>
  <c r="C23" i="8" s="1"/>
  <c r="G18" i="8"/>
  <c r="G23" i="8" s="1"/>
  <c r="F18" i="8"/>
  <c r="F23" i="8" s="1"/>
  <c r="E18" i="8"/>
  <c r="E23" i="8" s="1"/>
  <c r="D5" i="8"/>
  <c r="D4" i="7"/>
  <c r="P18" i="8" l="1"/>
  <c r="H23" i="8"/>
  <c r="P23" i="8" s="1"/>
  <c r="M18" i="7"/>
  <c r="H16" i="7"/>
  <c r="G16" i="7"/>
  <c r="H14" i="7"/>
  <c r="G14" i="7"/>
  <c r="C14" i="7"/>
  <c r="D17" i="7"/>
  <c r="C17" i="7"/>
  <c r="H17" i="7"/>
  <c r="G17" i="7"/>
  <c r="T17" i="7"/>
  <c r="T15" i="7" l="1"/>
  <c r="T16" i="7"/>
  <c r="N19" i="7" l="1"/>
  <c r="O16" i="8"/>
  <c r="I16" i="8"/>
  <c r="R14" i="8"/>
  <c r="V14" i="8" s="1"/>
  <c r="O14" i="8"/>
  <c r="O13" i="8"/>
  <c r="R11" i="8"/>
  <c r="O11" i="8"/>
  <c r="I11" i="8"/>
  <c r="V11" i="8" s="1"/>
  <c r="O10" i="8"/>
  <c r="I10" i="8"/>
  <c r="V10" i="8" s="1"/>
  <c r="R9" i="8"/>
  <c r="O9" i="8"/>
  <c r="I9" i="8"/>
  <c r="V9" i="8" s="1"/>
  <c r="O7" i="8"/>
  <c r="I7" i="8"/>
  <c r="V5" i="8"/>
  <c r="S5" i="8"/>
  <c r="R5" i="8"/>
  <c r="O5" i="8"/>
  <c r="R4" i="8"/>
  <c r="O4" i="8"/>
  <c r="I4" i="8"/>
  <c r="I18" i="8" s="1"/>
  <c r="I23" i="8" s="1"/>
  <c r="D4" i="8"/>
  <c r="D18" i="8" s="1"/>
  <c r="D23" i="8" s="1"/>
  <c r="L14" i="7"/>
  <c r="M5" i="7"/>
  <c r="M4" i="7"/>
  <c r="L19" i="7" l="1"/>
  <c r="T19" i="7" s="1"/>
  <c r="T14" i="7"/>
  <c r="M14" i="7"/>
  <c r="S4" i="8"/>
  <c r="V4" i="8"/>
  <c r="S11" i="8"/>
  <c r="S9" i="8"/>
  <c r="D5" i="7" l="1"/>
  <c r="D14" i="7" l="1"/>
  <c r="P19" i="7"/>
  <c r="Q19" i="7"/>
  <c r="R19" i="7"/>
  <c r="S18" i="7"/>
  <c r="T18" i="7" s="1"/>
  <c r="M9" i="7" l="1"/>
  <c r="U17" i="7"/>
  <c r="S6" i="7"/>
  <c r="M6" i="7"/>
  <c r="M19" i="7"/>
  <c r="M12" i="7"/>
  <c r="M8" i="7"/>
  <c r="M7" i="7"/>
  <c r="V6" i="7"/>
  <c r="U19" i="7" l="1"/>
  <c r="U18" i="7"/>
  <c r="U16" i="7"/>
  <c r="U14" i="7"/>
  <c r="S12" i="7"/>
  <c r="W11" i="7"/>
  <c r="AA11" i="7" s="1"/>
  <c r="V11" i="7"/>
  <c r="S11" i="7"/>
  <c r="V10" i="7"/>
  <c r="S10" i="7"/>
  <c r="AA9" i="7"/>
  <c r="X9" i="7"/>
  <c r="W9" i="7"/>
  <c r="V9" i="7"/>
  <c r="S9" i="7"/>
  <c r="AA8" i="7"/>
  <c r="V8" i="7"/>
  <c r="S8" i="7"/>
  <c r="AA7" i="7"/>
  <c r="X7" i="7"/>
  <c r="W7" i="7"/>
  <c r="V7" i="7"/>
  <c r="S7" i="7"/>
  <c r="AA5" i="7"/>
  <c r="X5" i="7"/>
  <c r="W5" i="7"/>
  <c r="V5" i="7"/>
  <c r="S5" i="7"/>
  <c r="AA4" i="7"/>
  <c r="X4" i="7"/>
  <c r="W4" i="7"/>
  <c r="V4" i="7"/>
  <c r="S4" i="7"/>
  <c r="N5" i="4"/>
  <c r="N7" i="4"/>
  <c r="N8" i="4"/>
  <c r="N9" i="4"/>
  <c r="N10" i="4"/>
  <c r="N11" i="4"/>
  <c r="N12" i="4"/>
  <c r="N13" i="4"/>
  <c r="N14" i="4"/>
  <c r="N15" i="4"/>
  <c r="N17" i="4"/>
  <c r="N18" i="4"/>
  <c r="N19" i="4"/>
  <c r="N21" i="4"/>
  <c r="N22" i="4"/>
  <c r="N23" i="4"/>
  <c r="P19" i="4"/>
  <c r="P18" i="4"/>
  <c r="P17" i="4"/>
  <c r="P15" i="4"/>
  <c r="P14" i="4"/>
  <c r="P13" i="4"/>
  <c r="P12" i="4"/>
  <c r="P11" i="4"/>
  <c r="P10" i="4"/>
  <c r="P9" i="4"/>
  <c r="P8" i="4"/>
  <c r="P7" i="4"/>
  <c r="P5" i="4"/>
  <c r="P4" i="4"/>
  <c r="N4" i="4"/>
  <c r="D24" i="4"/>
  <c r="E24" i="4"/>
  <c r="F24" i="4"/>
  <c r="G24" i="4"/>
  <c r="C24" i="4"/>
  <c r="G29" i="4" l="1"/>
  <c r="D29" i="4"/>
  <c r="E29" i="4"/>
  <c r="F29" i="4"/>
  <c r="K29" i="4"/>
  <c r="L29" i="4" l="1"/>
  <c r="M29" i="4"/>
  <c r="I25" i="4"/>
  <c r="I26" i="4"/>
  <c r="O26" i="4" s="1"/>
  <c r="I27" i="4"/>
  <c r="O27" i="4" s="1"/>
  <c r="I28" i="4"/>
  <c r="O28" i="4" s="1"/>
  <c r="I7" i="4"/>
  <c r="O7" i="4" s="1"/>
  <c r="I8" i="4"/>
  <c r="O8" i="4" s="1"/>
  <c r="I9" i="4"/>
  <c r="O9" i="4" s="1"/>
  <c r="I10" i="4"/>
  <c r="O10" i="4" s="1"/>
  <c r="I11" i="4"/>
  <c r="O11" i="4" s="1"/>
  <c r="I12" i="4"/>
  <c r="O12" i="4" s="1"/>
  <c r="I13" i="4"/>
  <c r="O13" i="4" s="1"/>
  <c r="I14" i="4"/>
  <c r="O14" i="4" s="1"/>
  <c r="I15" i="4"/>
  <c r="O15" i="4" s="1"/>
  <c r="I21" i="4"/>
  <c r="O21" i="4" s="1"/>
  <c r="I22" i="4"/>
  <c r="O22" i="4" s="1"/>
  <c r="I23" i="4"/>
  <c r="O23" i="4" s="1"/>
  <c r="H4" i="4"/>
  <c r="I4" i="4" s="1"/>
  <c r="O4" i="4" s="1"/>
  <c r="C29" i="4"/>
  <c r="F23" i="4"/>
  <c r="H18" i="4" l="1"/>
  <c r="H19" i="4"/>
  <c r="H17" i="4"/>
  <c r="H5" i="4"/>
  <c r="I5" i="4" s="1"/>
  <c r="I24" i="4" l="1"/>
  <c r="O24" i="4" s="1"/>
  <c r="O5" i="4"/>
  <c r="I17" i="4"/>
  <c r="I19" i="4"/>
  <c r="I18" i="4"/>
  <c r="H24" i="4"/>
  <c r="H29" i="4" s="1"/>
  <c r="I29" i="4" l="1"/>
  <c r="O29" i="4" s="1"/>
  <c r="O19" i="4"/>
  <c r="O17" i="4"/>
  <c r="O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M2" authorId="0" shapeId="0" xr:uid="{3BA78901-BDD9-4D41-AA91-A47DED27C98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O2" authorId="0" shapeId="0" xr:uid="{F3F3C6B7-2D5C-4918-8418-6129659EBDEE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4D52CFAA-E6EC-4100-986F-3510B4621E3D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80F4A39E-04A3-4935-BEB6-8325A0DE1BFE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97D96C72-066C-469F-9FF4-327C448248E7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65263554-9130-41D9-A105-99F84951DEBB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5F7FBF38-7E8C-4B2A-99CD-8FAF60C947C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6CD7BFBA-FDDA-4465-9083-699877B22EDB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6EB73561-D2B6-4D5C-8315-B341D406166F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F787505A-1645-454B-AB17-A1E15C9F3364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80B4EA50-591A-47F5-BB2C-707602B1FA44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4798C05F-63E3-4497-8180-19FE7932B91A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E4F38A8E-1E1D-4A44-A8D9-78CEAF1AA6A8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571A0178-B7AF-46F9-83C1-8EE067752E72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52FB6135-B600-49C9-9ADC-ABB513A3E6A6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M2" authorId="0" shapeId="0" xr:uid="{DC39265A-9567-4D8D-BC1B-79DD19C32535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K2" authorId="0" shapeId="0" xr:uid="{BFB599B8-36DF-4DDF-8A65-5887C35EE51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号別から交通費抜きで計算
高速と交通費合計
</t>
        </r>
      </text>
    </comment>
    <comment ref="M2" authorId="0" shapeId="0" xr:uid="{005DD764-67F5-41AF-A321-AA8301F1391E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税込
</t>
        </r>
      </text>
    </comment>
    <comment ref="J9" authorId="0" shapeId="0" xr:uid="{19602836-85D3-48C0-830E-7023B85E7F40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KPSで単独配布で飲み物、交通費、いらないで、配布原価すぐできます。
</t>
        </r>
      </text>
    </comment>
    <comment ref="J10" authorId="0" shapeId="0" xr:uid="{DB88DC61-FEF5-42DA-9BCC-5069DF0874E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単価＠3.3
</t>
        </r>
      </text>
    </comment>
    <comment ref="J17" authorId="0" shapeId="0" xr:uid="{D6D9B8FA-39F3-421F-A7CF-2FA2B3E0DCEE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＠5.7普通
</t>
        </r>
      </text>
    </comment>
    <comment ref="J21" authorId="0" shapeId="0" xr:uid="{5D5B1C54-3565-4E21-8A1A-58EBFBA3176B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＠5.0
20950*5*1.1＝115225
</t>
        </r>
      </text>
    </comment>
    <comment ref="M21" authorId="0" shapeId="0" xr:uid="{19069F9A-7868-46DE-8143-14E6A0D8406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クローバー＠5*部数*1.1
</t>
        </r>
      </text>
    </comment>
    <comment ref="J23" authorId="0" shapeId="0" xr:uid="{961C4829-334D-4380-A1AC-D71E021B4CC8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関西ぱどにマージン手数料10％　チラシ単価3.5円に手数料＠0.35　＝49000円（税抜き）</t>
        </r>
      </text>
    </comment>
    <comment ref="J24" authorId="0" shapeId="0" xr:uid="{A7D92BE9-CBBD-4F15-B055-8392A40AE8F6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メットライフ・買取全部入れる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G12" authorId="0" shapeId="0" xr:uid="{3119DEF7-AD9C-48E8-9BF2-0BD7628C69E0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豊中　４万部＠5
大東市4万部＠4
東大阪市2万部＠4</t>
        </r>
      </text>
    </comment>
  </commentList>
</comments>
</file>

<file path=xl/sharedStrings.xml><?xml version="1.0" encoding="utf-8"?>
<sst xmlns="http://schemas.openxmlformats.org/spreadsheetml/2006/main" count="931" uniqueCount="334">
  <si>
    <t>㈱ケイピーエス　大阪支社　 　2025年  10月度 売上表</t>
    <rPh sb="8" eb="10">
      <t>オオサカ</t>
    </rPh>
    <rPh sb="10" eb="12">
      <t>シシャ</t>
    </rPh>
    <rPh sb="19" eb="20">
      <t>ネン</t>
    </rPh>
    <rPh sb="24" eb="26">
      <t>ガツド</t>
    </rPh>
    <rPh sb="29" eb="30">
      <t>ヒョウ</t>
    </rPh>
    <phoneticPr fontId="3"/>
  </si>
  <si>
    <t>発行号</t>
    <rPh sb="0" eb="2">
      <t>ハッコウ</t>
    </rPh>
    <rPh sb="2" eb="3">
      <t>ゴウ</t>
    </rPh>
    <phoneticPr fontId="3"/>
  </si>
  <si>
    <t>版名</t>
    <rPh sb="0" eb="1">
      <t>ハン</t>
    </rPh>
    <rPh sb="1" eb="2">
      <t>ナ</t>
    </rPh>
    <phoneticPr fontId="3"/>
  </si>
  <si>
    <t>ぱど</t>
    <phoneticPr fontId="3"/>
  </si>
  <si>
    <t>チラシ</t>
    <phoneticPr fontId="3"/>
  </si>
  <si>
    <t>その他</t>
    <rPh sb="2" eb="3">
      <t>タ</t>
    </rPh>
    <phoneticPr fontId="3"/>
  </si>
  <si>
    <t>売上合計
（税込）</t>
    <rPh sb="0" eb="2">
      <t>ウリアゲ</t>
    </rPh>
    <rPh sb="2" eb="4">
      <t>ゴウケイ</t>
    </rPh>
    <phoneticPr fontId="3"/>
  </si>
  <si>
    <t>備　考</t>
    <rPh sb="0" eb="1">
      <t>ソナエ</t>
    </rPh>
    <rPh sb="2" eb="3">
      <t>コウ</t>
    </rPh>
    <phoneticPr fontId="3"/>
  </si>
  <si>
    <r>
      <t xml:space="preserve">交通費
</t>
    </r>
    <r>
      <rPr>
        <sz val="8"/>
        <color theme="1"/>
        <rFont val="ＭＳ Ｐゴシック"/>
        <family val="3"/>
        <charset val="128"/>
        <scheme val="minor"/>
      </rPr>
      <t>（駐車場代含）</t>
    </r>
    <rPh sb="0" eb="3">
      <t>コウツウヒ</t>
    </rPh>
    <rPh sb="5" eb="8">
      <t>チュウシャジョウ</t>
    </rPh>
    <rPh sb="8" eb="9">
      <t>ダイ</t>
    </rPh>
    <rPh sb="9" eb="10">
      <t>フク</t>
    </rPh>
    <phoneticPr fontId="3"/>
  </si>
  <si>
    <t>飲み物</t>
    <rPh sb="0" eb="1">
      <t>ノ</t>
    </rPh>
    <rPh sb="2" eb="3">
      <t>モノ</t>
    </rPh>
    <phoneticPr fontId="3"/>
  </si>
  <si>
    <t>配布原価（税込）</t>
    <rPh sb="0" eb="2">
      <t>ハイフ</t>
    </rPh>
    <rPh sb="2" eb="4">
      <t>ゲンカ</t>
    </rPh>
    <rPh sb="5" eb="7">
      <t>ゼイコミ</t>
    </rPh>
    <phoneticPr fontId="3"/>
  </si>
  <si>
    <t>部数</t>
    <rPh sb="0" eb="2">
      <t>ブスウ</t>
    </rPh>
    <phoneticPr fontId="3"/>
  </si>
  <si>
    <t>売上（税抜）</t>
    <rPh sb="0" eb="2">
      <t>ウリアゲ</t>
    </rPh>
    <rPh sb="3" eb="4">
      <t>ゼイ</t>
    </rPh>
    <rPh sb="4" eb="5">
      <t>ヌ</t>
    </rPh>
    <phoneticPr fontId="3"/>
  </si>
  <si>
    <t>京阪南</t>
    <rPh sb="0" eb="2">
      <t>ケイハン</t>
    </rPh>
    <rPh sb="2" eb="3">
      <t>ミナミ</t>
    </rPh>
    <phoneticPr fontId="3"/>
  </si>
  <si>
    <t>京阪北</t>
    <rPh sb="0" eb="2">
      <t>ケイハン</t>
    </rPh>
    <rPh sb="2" eb="3">
      <t>キタ</t>
    </rPh>
    <phoneticPr fontId="3"/>
  </si>
  <si>
    <t>　メットライフ</t>
    <phoneticPr fontId="3"/>
  </si>
  <si>
    <t>買取専科</t>
    <rPh sb="0" eb="2">
      <t>カイトリ</t>
    </rPh>
    <rPh sb="2" eb="4">
      <t>センカ</t>
    </rPh>
    <phoneticPr fontId="3"/>
  </si>
  <si>
    <t>リビング
プロシード</t>
    <phoneticPr fontId="3"/>
  </si>
  <si>
    <t>10月度</t>
    <rPh sb="2" eb="4">
      <t>ガツド</t>
    </rPh>
    <phoneticPr fontId="3"/>
  </si>
  <si>
    <t>計</t>
    <rPh sb="0" eb="1">
      <t>ケイ</t>
    </rPh>
    <phoneticPr fontId="3"/>
  </si>
  <si>
    <t>※ 小数点以下、四捨五入</t>
    <rPh sb="2" eb="5">
      <t>ショウスウテン</t>
    </rPh>
    <rPh sb="5" eb="7">
      <t>イカ</t>
    </rPh>
    <rPh sb="8" eb="12">
      <t>シシャゴニュウ</t>
    </rPh>
    <phoneticPr fontId="3"/>
  </si>
  <si>
    <t>長友議員</t>
    <rPh sb="0" eb="2">
      <t>ナガトモ</t>
    </rPh>
    <rPh sb="2" eb="4">
      <t>ギイン</t>
    </rPh>
    <phoneticPr fontId="3"/>
  </si>
  <si>
    <t>前田議員</t>
    <rPh sb="0" eb="2">
      <t>マエダ</t>
    </rPh>
    <rPh sb="2" eb="4">
      <t>ギイン</t>
    </rPh>
    <phoneticPr fontId="3"/>
  </si>
  <si>
    <t>メットライフ茨木　（10/14・24開催分）</t>
    <rPh sb="6" eb="8">
      <t>イバラキ</t>
    </rPh>
    <rPh sb="18" eb="21">
      <t>カイサイブン</t>
    </rPh>
    <phoneticPr fontId="3"/>
  </si>
  <si>
    <t>メットライフ千里文化センター　（10/14・24開催分）　クローバージャパン</t>
    <rPh sb="6" eb="10">
      <t>センリブンカ</t>
    </rPh>
    <rPh sb="24" eb="27">
      <t>カイサイブン</t>
    </rPh>
    <phoneticPr fontId="3"/>
  </si>
  <si>
    <t>メットライフ吹田市（11/5・10開催分）クローバージャパン</t>
    <rPh sb="6" eb="8">
      <t>スイタ</t>
    </rPh>
    <rPh sb="8" eb="9">
      <t>シ</t>
    </rPh>
    <rPh sb="17" eb="20">
      <t>カイサイブン</t>
    </rPh>
    <phoneticPr fontId="3"/>
  </si>
  <si>
    <t>メットライフ茨木　（11/11・19開催分）クローバージャパン</t>
    <rPh sb="6" eb="8">
      <t>イバラキ</t>
    </rPh>
    <rPh sb="18" eb="21">
      <t>カイサイブン</t>
    </rPh>
    <phoneticPr fontId="3"/>
  </si>
  <si>
    <t>メットライフ豊中市　（11/18・21開催分）クローバージャパン</t>
    <rPh sb="6" eb="9">
      <t>トヨナカシ</t>
    </rPh>
    <rPh sb="19" eb="22">
      <t>カイサイブン</t>
    </rPh>
    <phoneticPr fontId="3"/>
  </si>
  <si>
    <t>北大阪営業部</t>
    <rPh sb="0" eb="1">
      <t>キタ</t>
    </rPh>
    <rPh sb="1" eb="3">
      <t>オオサカ</t>
    </rPh>
    <rPh sb="3" eb="5">
      <t>エイギョウ</t>
    </rPh>
    <rPh sb="5" eb="6">
      <t>ブ</t>
    </rPh>
    <phoneticPr fontId="3"/>
  </si>
  <si>
    <t>関西ぱど</t>
    <rPh sb="0" eb="2">
      <t>カンサイ</t>
    </rPh>
    <phoneticPr fontId="3"/>
  </si>
  <si>
    <t>アド・バリュー</t>
    <phoneticPr fontId="3"/>
  </si>
  <si>
    <t>売上合計
（税抜）</t>
    <rPh sb="0" eb="2">
      <t>ウリアゲ</t>
    </rPh>
    <rPh sb="2" eb="4">
      <t>ゴウケイ</t>
    </rPh>
    <rPh sb="7" eb="8">
      <t>ヌ</t>
    </rPh>
    <phoneticPr fontId="3"/>
  </si>
  <si>
    <t>守口市</t>
    <rPh sb="0" eb="3">
      <t>モリグチシ</t>
    </rPh>
    <phoneticPr fontId="3"/>
  </si>
  <si>
    <t>寝屋川市</t>
    <rPh sb="0" eb="4">
      <t>ネヤガワシ</t>
    </rPh>
    <phoneticPr fontId="3"/>
  </si>
  <si>
    <t>豊中・吹田・箕面</t>
    <rPh sb="0" eb="2">
      <t>トヨナカ</t>
    </rPh>
    <rPh sb="3" eb="5">
      <t>スイタ</t>
    </rPh>
    <rPh sb="6" eb="8">
      <t>ミノオ</t>
    </rPh>
    <phoneticPr fontId="3"/>
  </si>
  <si>
    <t>売上原価（税込）</t>
    <rPh sb="0" eb="2">
      <t>ウリアゲ</t>
    </rPh>
    <rPh sb="2" eb="4">
      <t>ゲンカ</t>
    </rPh>
    <rPh sb="5" eb="7">
      <t>ゼイコ</t>
    </rPh>
    <phoneticPr fontId="3"/>
  </si>
  <si>
    <t>利益</t>
    <rPh sb="0" eb="2">
      <t>リエキ</t>
    </rPh>
    <phoneticPr fontId="3"/>
  </si>
  <si>
    <t>売上単価</t>
    <rPh sb="0" eb="2">
      <t>ウリアゲ</t>
    </rPh>
    <rPh sb="2" eb="4">
      <t>タンカ</t>
    </rPh>
    <phoneticPr fontId="3"/>
  </si>
  <si>
    <t>コスト</t>
    <phoneticPr fontId="3"/>
  </si>
  <si>
    <t>部数16200→16500→16200変更</t>
    <rPh sb="0" eb="2">
      <t>ブスウ</t>
    </rPh>
    <rPh sb="19" eb="21">
      <t>ヘンコウ</t>
    </rPh>
    <phoneticPr fontId="3"/>
  </si>
  <si>
    <t>10/17号</t>
    <rPh sb="5" eb="6">
      <t>ゴウ</t>
    </rPh>
    <phoneticPr fontId="3"/>
  </si>
  <si>
    <t>ｱﾄﾞ・バリュー　10-1</t>
    <phoneticPr fontId="3"/>
  </si>
  <si>
    <t>ｱﾄﾞ・バリュー　10-2</t>
  </si>
  <si>
    <t>ｱﾄﾞ・バリュー　10-3</t>
  </si>
  <si>
    <t>新日本セキリュティ</t>
    <rPh sb="0" eb="3">
      <t>シンニホン</t>
    </rPh>
    <phoneticPr fontId="3"/>
  </si>
  <si>
    <t>リビング・プロシード　10/17号</t>
    <rPh sb="16" eb="17">
      <t>ゴウ</t>
    </rPh>
    <phoneticPr fontId="3"/>
  </si>
  <si>
    <t>KPS（新日本セキリュティ分）</t>
    <rPh sb="4" eb="7">
      <t>シンニホン</t>
    </rPh>
    <rPh sb="13" eb="14">
      <t>ブン</t>
    </rPh>
    <phoneticPr fontId="3"/>
  </si>
  <si>
    <t>高槻・茨木　クローバージャパン(￥104,750*1.1）</t>
    <rPh sb="0" eb="2">
      <t>タカツキ</t>
    </rPh>
    <rPh sb="3" eb="5">
      <t>イバラキ</t>
    </rPh>
    <phoneticPr fontId="3"/>
  </si>
  <si>
    <t>平均単価</t>
  </si>
  <si>
    <t>税抜き</t>
    <rPh sb="0" eb="2">
      <t>ゼイヌ</t>
    </rPh>
    <phoneticPr fontId="3"/>
  </si>
  <si>
    <t>利益率</t>
    <rPh sb="0" eb="3">
      <t>リエキリツ</t>
    </rPh>
    <phoneticPr fontId="3"/>
  </si>
  <si>
    <t>原価</t>
    <rPh sb="0" eb="2">
      <t>ゲンカ</t>
    </rPh>
    <phoneticPr fontId="3"/>
  </si>
  <si>
    <t>配布原価</t>
    <rPh sb="0" eb="2">
      <t>ハイフ</t>
    </rPh>
    <rPh sb="2" eb="4">
      <t>ゲンカ</t>
    </rPh>
    <phoneticPr fontId="3"/>
  </si>
  <si>
    <t>（税込）</t>
  </si>
  <si>
    <t>KPS（新日本セキリュティ１７万部）＠3.5</t>
    <rPh sb="4" eb="7">
      <t>シンニホン</t>
    </rPh>
    <rPh sb="15" eb="16">
      <t>マン</t>
    </rPh>
    <rPh sb="16" eb="17">
      <t>ブ</t>
    </rPh>
    <phoneticPr fontId="3"/>
  </si>
  <si>
    <t>㈱ケイピーエス　大阪支社　 　2025年  11月度 売上表</t>
    <rPh sb="8" eb="10">
      <t>オオサカ</t>
    </rPh>
    <rPh sb="10" eb="12">
      <t>シシャ</t>
    </rPh>
    <rPh sb="19" eb="20">
      <t>ネン</t>
    </rPh>
    <rPh sb="24" eb="26">
      <t>ガツド</t>
    </rPh>
    <rPh sb="29" eb="30">
      <t>ヒョウ</t>
    </rPh>
    <phoneticPr fontId="3"/>
  </si>
  <si>
    <t>11/21号</t>
    <rPh sb="5" eb="6">
      <t>ゴウ</t>
    </rPh>
    <phoneticPr fontId="3"/>
  </si>
  <si>
    <t>11月度</t>
    <rPh sb="2" eb="4">
      <t>ガツド</t>
    </rPh>
    <phoneticPr fontId="3"/>
  </si>
  <si>
    <t>リビング・プロシード　11/21号</t>
    <rPh sb="16" eb="17">
      <t>ゴウ</t>
    </rPh>
    <phoneticPr fontId="3"/>
  </si>
  <si>
    <t>TP案件</t>
    <rPh sb="2" eb="4">
      <t>アンケン</t>
    </rPh>
    <phoneticPr fontId="3"/>
  </si>
  <si>
    <t>ｱﾄﾞ・バリュー　11-1</t>
    <phoneticPr fontId="3"/>
  </si>
  <si>
    <t>ｱﾄﾞ・バリュー　11-2</t>
    <phoneticPr fontId="3"/>
  </si>
  <si>
    <t>ｱﾄﾞ・バリュー　11-3</t>
    <phoneticPr fontId="3"/>
  </si>
  <si>
    <t>高槻・茨木　（クローバージャパン）＠5</t>
    <rPh sb="0" eb="2">
      <t>タカツキ</t>
    </rPh>
    <rPh sb="3" eb="5">
      <t>イバラキ</t>
    </rPh>
    <phoneticPr fontId="3"/>
  </si>
  <si>
    <t>原価率</t>
    <rPh sb="0" eb="3">
      <t>ゲンカリツ</t>
    </rPh>
    <phoneticPr fontId="3"/>
  </si>
  <si>
    <t>チラシ（総部数）</t>
    <rPh sb="4" eb="7">
      <t>ソウブスウ</t>
    </rPh>
    <phoneticPr fontId="3"/>
  </si>
  <si>
    <t>１１月</t>
    <rPh sb="2" eb="3">
      <t>ガツ</t>
    </rPh>
    <phoneticPr fontId="3"/>
  </si>
  <si>
    <t>１０月ぱど</t>
    <rPh sb="2" eb="3">
      <t>ガツ</t>
    </rPh>
    <phoneticPr fontId="3"/>
  </si>
  <si>
    <t>１０月チラシ</t>
    <rPh sb="2" eb="3">
      <t>ガツ</t>
    </rPh>
    <phoneticPr fontId="3"/>
  </si>
  <si>
    <t>１０月売上税抜き</t>
    <rPh sb="2" eb="3">
      <t>ガツ</t>
    </rPh>
    <rPh sb="3" eb="5">
      <t>ウリアゲ</t>
    </rPh>
    <rPh sb="5" eb="7">
      <t>ゼイヌ</t>
    </rPh>
    <phoneticPr fontId="3"/>
  </si>
  <si>
    <t>１０月売上</t>
    <rPh sb="2" eb="3">
      <t>ガツ</t>
    </rPh>
    <rPh sb="3" eb="5">
      <t>ウリアゲ</t>
    </rPh>
    <phoneticPr fontId="3"/>
  </si>
  <si>
    <t>税抜き</t>
  </si>
  <si>
    <t>11/21meeting記録</t>
    <rPh sb="12" eb="14">
      <t>キロク</t>
    </rPh>
    <phoneticPr fontId="3"/>
  </si>
  <si>
    <t>②守口・門真</t>
    <rPh sb="1" eb="3">
      <t>モリグチ</t>
    </rPh>
    <rPh sb="4" eb="6">
      <t>カドマ</t>
    </rPh>
    <phoneticPr fontId="3"/>
  </si>
  <si>
    <t>渡辺部長</t>
    <rPh sb="0" eb="2">
      <t>ワタナベ</t>
    </rPh>
    <rPh sb="2" eb="4">
      <t>ブチョウ</t>
    </rPh>
    <phoneticPr fontId="3"/>
  </si>
  <si>
    <t>③旭区ぱどメール　だったけど、見直す～５．６千部　　→旭区全域にする（社長）</t>
    <rPh sb="1" eb="3">
      <t>アサヒク</t>
    </rPh>
    <rPh sb="15" eb="17">
      <t>ミナオ</t>
    </rPh>
    <rPh sb="22" eb="23">
      <t>セン</t>
    </rPh>
    <rPh sb="23" eb="24">
      <t>ブ</t>
    </rPh>
    <rPh sb="35" eb="37">
      <t>シャチョウ</t>
    </rPh>
    <phoneticPr fontId="3"/>
  </si>
  <si>
    <t>　　　　チラシ見えない（小西）</t>
    <rPh sb="7" eb="8">
      <t>ミ</t>
    </rPh>
    <rPh sb="12" eb="14">
      <t>コニシ</t>
    </rPh>
    <phoneticPr fontId="3"/>
  </si>
  <si>
    <t>④ちゅうこのフォーマット資料取り入れる</t>
    <rPh sb="12" eb="14">
      <t>シリョウ</t>
    </rPh>
    <rPh sb="14" eb="15">
      <t>ト</t>
    </rPh>
    <rPh sb="16" eb="17">
      <t>イ</t>
    </rPh>
    <phoneticPr fontId="3"/>
  </si>
  <si>
    <t>⑤チラシ少ない（北田）</t>
    <rPh sb="4" eb="5">
      <t>スク</t>
    </rPh>
    <rPh sb="8" eb="10">
      <t>キタダ</t>
    </rPh>
    <phoneticPr fontId="3"/>
  </si>
  <si>
    <t>⑥買取専科　今後増やす（渡辺）</t>
    <rPh sb="1" eb="3">
      <t>カイトリ</t>
    </rPh>
    <rPh sb="3" eb="5">
      <t>センカ</t>
    </rPh>
    <rPh sb="6" eb="8">
      <t>コンゴ</t>
    </rPh>
    <rPh sb="8" eb="9">
      <t>フ</t>
    </rPh>
    <rPh sb="12" eb="14">
      <t>ワタナベ</t>
    </rPh>
    <phoneticPr fontId="3"/>
  </si>
  <si>
    <t>①ぱど来年４月Ａ４版にします～　36Ｐ</t>
    <rPh sb="3" eb="5">
      <t>ライネン</t>
    </rPh>
    <rPh sb="5" eb="7">
      <t>シガツ</t>
    </rPh>
    <rPh sb="9" eb="10">
      <t>バン</t>
    </rPh>
    <phoneticPr fontId="3"/>
  </si>
  <si>
    <t>　　　　１０月新人女性ぱど配属（渡辺）</t>
    <rPh sb="6" eb="7">
      <t>ガツ</t>
    </rPh>
    <rPh sb="7" eb="9">
      <t>シンジン</t>
    </rPh>
    <rPh sb="9" eb="11">
      <t>ジョセイ</t>
    </rPh>
    <rPh sb="13" eb="15">
      <t>ハイゾク</t>
    </rPh>
    <rPh sb="16" eb="18">
      <t>ワタナベ</t>
    </rPh>
    <phoneticPr fontId="3"/>
  </si>
  <si>
    <t>　　　　地図１か月前にもらう</t>
    <rPh sb="4" eb="6">
      <t>チズ</t>
    </rPh>
    <rPh sb="8" eb="9">
      <t>ゲツ</t>
    </rPh>
    <rPh sb="9" eb="10">
      <t>マエ</t>
    </rPh>
    <phoneticPr fontId="3"/>
  </si>
  <si>
    <t>　　　　門真市駅駅前、ららぽーど、163道路あたり配ってない、９千部追加</t>
    <rPh sb="4" eb="8">
      <t>カドマシエキ</t>
    </rPh>
    <rPh sb="8" eb="10">
      <t>エキマエ</t>
    </rPh>
    <rPh sb="20" eb="22">
      <t>ドウロ</t>
    </rPh>
    <rPh sb="25" eb="26">
      <t>クバ</t>
    </rPh>
    <rPh sb="32" eb="33">
      <t>セン</t>
    </rPh>
    <rPh sb="33" eb="34">
      <t>ブ</t>
    </rPh>
    <rPh sb="34" eb="36">
      <t>ツイカ</t>
    </rPh>
    <phoneticPr fontId="3"/>
  </si>
  <si>
    <t>⑦メットライフ　ｋｐｓ拒否（お客様から反響なし）→ＰＯＳＴＩＮＧ会社に関係ない</t>
    <rPh sb="11" eb="13">
      <t>キョヒ</t>
    </rPh>
    <rPh sb="15" eb="17">
      <t>キャクサマ</t>
    </rPh>
    <rPh sb="19" eb="21">
      <t>ハンキョウ</t>
    </rPh>
    <rPh sb="32" eb="34">
      <t>カイシャ</t>
    </rPh>
    <rPh sb="35" eb="37">
      <t>カンケイ</t>
    </rPh>
    <phoneticPr fontId="3"/>
  </si>
  <si>
    <t>⑧案件スケージュール</t>
    <rPh sb="1" eb="3">
      <t>アンケン</t>
    </rPh>
    <phoneticPr fontId="3"/>
  </si>
  <si>
    <t>　　　小浜引き通り</t>
    <rPh sb="3" eb="5">
      <t>コハマ</t>
    </rPh>
    <rPh sb="5" eb="6">
      <t>ヒ</t>
    </rPh>
    <rPh sb="7" eb="8">
      <t>トオ</t>
    </rPh>
    <phoneticPr fontId="3"/>
  </si>
  <si>
    <t>高槻・茨木　（クローバージャパン）＠5×15000</t>
    <rPh sb="0" eb="2">
      <t>タカツキ</t>
    </rPh>
    <rPh sb="3" eb="5">
      <t>イバラキ</t>
    </rPh>
    <phoneticPr fontId="3"/>
  </si>
  <si>
    <t>KPS（新日本セキリュティ１0万部）平均＠4.6</t>
    <rPh sb="4" eb="7">
      <t>シンニホン</t>
    </rPh>
    <rPh sb="15" eb="16">
      <t>マン</t>
    </rPh>
    <rPh sb="16" eb="17">
      <t>ブ</t>
    </rPh>
    <rPh sb="18" eb="20">
      <t>ヘイキン</t>
    </rPh>
    <phoneticPr fontId="3"/>
  </si>
  <si>
    <t>ｱﾄﾞ・バリュー　12-1</t>
    <phoneticPr fontId="3"/>
  </si>
  <si>
    <t>ｱﾄﾞ・バリュー　12-2</t>
  </si>
  <si>
    <t>ｱﾄﾞ・バリュー　12-3</t>
  </si>
  <si>
    <t>12/5号</t>
    <rPh sb="4" eb="5">
      <t>ゴウ</t>
    </rPh>
    <phoneticPr fontId="3"/>
  </si>
  <si>
    <t>12月度</t>
    <rPh sb="2" eb="4">
      <t>ガツド</t>
    </rPh>
    <phoneticPr fontId="3"/>
  </si>
  <si>
    <t>リビング・プロシード　12/5号</t>
    <rPh sb="15" eb="16">
      <t>ゴウ</t>
    </rPh>
    <phoneticPr fontId="3"/>
  </si>
  <si>
    <t>㈱ケイピーエス　大阪支社　 　2025年 12月度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</si>
  <si>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t>販管費</t>
    <rPh sb="0" eb="3">
      <t>ハンカンヒ</t>
    </rPh>
    <phoneticPr fontId="3"/>
  </si>
  <si>
    <t>売上</t>
    <rPh sb="0" eb="2">
      <t>ウリアゲ</t>
    </rPh>
    <phoneticPr fontId="3"/>
  </si>
  <si>
    <t>税抜き（千）</t>
    <rPh sb="0" eb="2">
      <t>ゼイヌ</t>
    </rPh>
    <rPh sb="4" eb="5">
      <t>セン</t>
    </rPh>
    <phoneticPr fontId="3"/>
  </si>
  <si>
    <t>本社（千）</t>
    <rPh sb="0" eb="2">
      <t>ホンシャ</t>
    </rPh>
    <phoneticPr fontId="3"/>
  </si>
  <si>
    <t>3月にKPSサイトに受注システム作る</t>
    <rPh sb="1" eb="2">
      <t>ガツ</t>
    </rPh>
    <rPh sb="10" eb="12">
      <t>ジュチュウ</t>
    </rPh>
    <rPh sb="16" eb="17">
      <t>ツク</t>
    </rPh>
    <phoneticPr fontId="3"/>
  </si>
  <si>
    <t>ぱど南　北地区　</t>
    <rPh sb="2" eb="3">
      <t>ミナミ</t>
    </rPh>
    <rPh sb="4" eb="5">
      <t>キタ</t>
    </rPh>
    <rPh sb="5" eb="7">
      <t>チク</t>
    </rPh>
    <phoneticPr fontId="3"/>
  </si>
  <si>
    <t>クレジット決済</t>
    <rPh sb="5" eb="7">
      <t>ケッサイ</t>
    </rPh>
    <phoneticPr fontId="3"/>
  </si>
  <si>
    <t>署名同意（反社）</t>
    <rPh sb="0" eb="2">
      <t>ショメイ</t>
    </rPh>
    <rPh sb="2" eb="4">
      <t>ドウイ</t>
    </rPh>
    <rPh sb="5" eb="6">
      <t>ハン</t>
    </rPh>
    <rPh sb="6" eb="7">
      <t>シャ</t>
    </rPh>
    <phoneticPr fontId="3"/>
  </si>
  <si>
    <t>外注</t>
    <rPh sb="0" eb="2">
      <t>ガイチュウ</t>
    </rPh>
    <phoneticPr fontId="3"/>
  </si>
  <si>
    <t>社長</t>
    <rPh sb="0" eb="2">
      <t>シャチョウ</t>
    </rPh>
    <phoneticPr fontId="3"/>
  </si>
  <si>
    <t>㈱ケイピーエス　大阪支社　 　2026年 1月度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</si>
  <si>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ｱﾄﾞ・バリュー　1-1</t>
    <phoneticPr fontId="3"/>
  </si>
  <si>
    <t>ｱﾄﾞ・バリュー　1-2</t>
    <phoneticPr fontId="3"/>
  </si>
  <si>
    <t>ｱﾄﾞ・バリュー　1-3</t>
    <phoneticPr fontId="3"/>
  </si>
  <si>
    <t>販管費</t>
    <rPh sb="0" eb="2">
      <t>ハンカン</t>
    </rPh>
    <rPh sb="2" eb="3">
      <t>ヒ</t>
    </rPh>
    <phoneticPr fontId="3"/>
  </si>
  <si>
    <t>小口</t>
    <rPh sb="0" eb="2">
      <t>コグチ</t>
    </rPh>
    <phoneticPr fontId="3"/>
  </si>
  <si>
    <t>本社支払い</t>
    <rPh sb="0" eb="2">
      <t>ホンシャ</t>
    </rPh>
    <rPh sb="2" eb="4">
      <t>シハラ</t>
    </rPh>
    <phoneticPr fontId="3"/>
  </si>
  <si>
    <t>本社振込</t>
    <rPh sb="0" eb="2">
      <t>ホンシャ</t>
    </rPh>
    <rPh sb="2" eb="4">
      <t>フリコミ</t>
    </rPh>
    <phoneticPr fontId="3"/>
  </si>
  <si>
    <t>1月度</t>
    <rPh sb="1" eb="3">
      <t>ガツド</t>
    </rPh>
    <phoneticPr fontId="3"/>
  </si>
  <si>
    <t>1/16号</t>
    <rPh sb="4" eb="5">
      <t>ゴウ</t>
    </rPh>
    <phoneticPr fontId="3"/>
  </si>
  <si>
    <t>関西ぱど案件</t>
    <rPh sb="0" eb="2">
      <t>カンサイ</t>
    </rPh>
    <rPh sb="4" eb="6">
      <t>アンケン</t>
    </rPh>
    <phoneticPr fontId="3"/>
  </si>
  <si>
    <t>リビング</t>
    <phoneticPr fontId="3"/>
  </si>
  <si>
    <t>南</t>
    <rPh sb="0" eb="1">
      <t>ミナミ</t>
    </rPh>
    <phoneticPr fontId="3"/>
  </si>
  <si>
    <t>南版チラシ総受注　53,391部</t>
    <rPh sb="0" eb="2">
      <t>ミナミバン</t>
    </rPh>
    <rPh sb="5" eb="8">
      <t>ソウジュチュウ</t>
    </rPh>
    <rPh sb="15" eb="16">
      <t>ブ</t>
    </rPh>
    <phoneticPr fontId="3"/>
  </si>
  <si>
    <t>北版チラシ総受注　366,463部
加工作業5000円</t>
    <rPh sb="0" eb="2">
      <t>キタバン</t>
    </rPh>
    <rPh sb="5" eb="8">
      <t>ソウジュチュウ</t>
    </rPh>
    <rPh sb="16" eb="17">
      <t>ブ</t>
    </rPh>
    <rPh sb="18" eb="22">
      <t>カコウサギョウ</t>
    </rPh>
    <rPh sb="26" eb="27">
      <t>エン</t>
    </rPh>
    <phoneticPr fontId="3"/>
  </si>
  <si>
    <t>チラシ
平均単価</t>
    <rPh sb="4" eb="8">
      <t>ヘイキンタンカ</t>
    </rPh>
    <phoneticPr fontId="3"/>
  </si>
  <si>
    <t>部数
平均単価</t>
    <rPh sb="0" eb="2">
      <t>ブスウ</t>
    </rPh>
    <rPh sb="3" eb="7">
      <t>ヘイキンタンカ</t>
    </rPh>
    <phoneticPr fontId="3"/>
  </si>
  <si>
    <t>南版チラシ総受注　　92,016部</t>
    <rPh sb="0" eb="2">
      <t>ミナミバン</t>
    </rPh>
    <rPh sb="5" eb="8">
      <t>ソウジュチュウ</t>
    </rPh>
    <rPh sb="16" eb="17">
      <t>ブ</t>
    </rPh>
    <phoneticPr fontId="3"/>
  </si>
  <si>
    <t>北版チラシ総受注　646,721部</t>
    <rPh sb="0" eb="2">
      <t>キタバン</t>
    </rPh>
    <rPh sb="5" eb="8">
      <t>ソウジュチュウ</t>
    </rPh>
    <rPh sb="16" eb="17">
      <t>ブ</t>
    </rPh>
    <phoneticPr fontId="3"/>
  </si>
  <si>
    <t>チラシ
平均単価</t>
    <phoneticPr fontId="3"/>
  </si>
  <si>
    <t>ｱﾄﾞ・バリュー　1-4</t>
    <phoneticPr fontId="3"/>
  </si>
  <si>
    <t xml:space="preserve"> 南版チラシ総受注　99,483部</t>
    <rPh sb="1" eb="3">
      <t>ミナミバン</t>
    </rPh>
    <rPh sb="6" eb="9">
      <t>ソウジュチュウ</t>
    </rPh>
    <rPh sb="16" eb="17">
      <t>ブ</t>
    </rPh>
    <phoneticPr fontId="3"/>
  </si>
  <si>
    <t xml:space="preserve">  ウイッグユキ 43,255部  ＠ 4.0 (株)スタートライン 16,000部 ＠ 4.0</t>
    <rPh sb="15" eb="16">
      <t>ブ</t>
    </rPh>
    <rPh sb="24" eb="27">
      <t>カブシキガイシャ</t>
    </rPh>
    <rPh sb="41" eb="42">
      <t>ブ</t>
    </rPh>
    <phoneticPr fontId="3"/>
  </si>
  <si>
    <t xml:space="preserve"> 高槻・茨木　（clove　10050*＠6.0　4450*＠8.0）</t>
    <rPh sb="1" eb="3">
      <t>タカツキ</t>
    </rPh>
    <rPh sb="4" eb="6">
      <t>イバラキ</t>
    </rPh>
    <phoneticPr fontId="3"/>
  </si>
  <si>
    <t xml:space="preserve"> 豊中・吹田・箕面</t>
    <rPh sb="1" eb="3">
      <t>トヨナカ</t>
    </rPh>
    <rPh sb="4" eb="6">
      <t>スイタ</t>
    </rPh>
    <rPh sb="7" eb="9">
      <t>ミノオ</t>
    </rPh>
    <phoneticPr fontId="3"/>
  </si>
  <si>
    <t xml:space="preserve"> 関西ぱど</t>
    <rPh sb="1" eb="3">
      <t>カンサイ</t>
    </rPh>
    <phoneticPr fontId="3"/>
  </si>
  <si>
    <t xml:space="preserve"> アド・バリュー</t>
    <phoneticPr fontId="3"/>
  </si>
  <si>
    <t xml:space="preserve"> リビング・プロシード　1/16号</t>
    <rPh sb="16" eb="17">
      <t>ゴウ</t>
    </rPh>
    <phoneticPr fontId="3"/>
  </si>
  <si>
    <t>単価＠4.0
配夢依頼＠3.0</t>
    <rPh sb="0" eb="2">
      <t>タンカ</t>
    </rPh>
    <rPh sb="7" eb="8">
      <t>ハイ</t>
    </rPh>
    <rPh sb="8" eb="9">
      <t>ム</t>
    </rPh>
    <rPh sb="9" eb="11">
      <t>イライ</t>
    </rPh>
    <phoneticPr fontId="3"/>
  </si>
  <si>
    <t>ｱﾄﾞ・バリュー　2-1</t>
    <phoneticPr fontId="3"/>
  </si>
  <si>
    <t>ｱﾄﾞ・バリュー　2-2</t>
    <phoneticPr fontId="3"/>
  </si>
  <si>
    <t>ｱﾄﾞ・バリュー　2-3</t>
    <phoneticPr fontId="3"/>
  </si>
  <si>
    <t>2月度</t>
    <rPh sb="1" eb="3">
      <t>ガツド</t>
    </rPh>
    <phoneticPr fontId="3"/>
  </si>
  <si>
    <t>㈱ケイピーエス　大阪支社　 　2026年 2月度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</si>
  <si>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 xml:space="preserve"> 北版チラシ総受注　294,052部</t>
    <rPh sb="1" eb="2">
      <t>キタ</t>
    </rPh>
    <rPh sb="2" eb="3">
      <t>バン</t>
    </rPh>
    <rPh sb="6" eb="9">
      <t>ソウジュチュウ</t>
    </rPh>
    <rPh sb="17" eb="18">
      <t>ブ</t>
    </rPh>
    <phoneticPr fontId="3"/>
  </si>
  <si>
    <t>東大阪衆議院選挙公報
ダブル選挙</t>
    <rPh sb="0" eb="3">
      <t>ヒガシオオサカ</t>
    </rPh>
    <rPh sb="3" eb="6">
      <t>シュウギイン</t>
    </rPh>
    <rPh sb="6" eb="10">
      <t>センキョコウホウ</t>
    </rPh>
    <rPh sb="14" eb="16">
      <t>センキョ</t>
    </rPh>
    <phoneticPr fontId="3"/>
  </si>
  <si>
    <t>2/20号</t>
    <rPh sb="4" eb="5">
      <t>ゴウ</t>
    </rPh>
    <phoneticPr fontId="3"/>
  </si>
  <si>
    <t xml:space="preserve"> 高槻・茨木　</t>
    <rPh sb="1" eb="3">
      <t>タカツキ</t>
    </rPh>
    <rPh sb="4" eb="6">
      <t>イバラキ</t>
    </rPh>
    <phoneticPr fontId="3"/>
  </si>
  <si>
    <t xml:space="preserve"> 北版チラシ総受注　1,001,065　部</t>
    <rPh sb="1" eb="2">
      <t>キタ</t>
    </rPh>
    <rPh sb="2" eb="3">
      <t>バン</t>
    </rPh>
    <rPh sb="6" eb="9">
      <t>ソウジュチュウ</t>
    </rPh>
    <rPh sb="20" eb="21">
      <t>ブ</t>
    </rPh>
    <phoneticPr fontId="3"/>
  </si>
  <si>
    <t xml:space="preserve"> 南版チラシ総受注　188,228　部</t>
    <rPh sb="1" eb="3">
      <t>ミナミバン</t>
    </rPh>
    <rPh sb="6" eb="9">
      <t>ソウジュチュウ</t>
    </rPh>
    <rPh sb="18" eb="19">
      <t>ブ</t>
    </rPh>
    <phoneticPr fontId="3"/>
  </si>
  <si>
    <t xml:space="preserve"> リビング・プロシード　2/20号</t>
    <rPh sb="16" eb="17">
      <t>ゴウ</t>
    </rPh>
    <phoneticPr fontId="3"/>
  </si>
  <si>
    <t>㈱ケイピーエス　大阪支社　 　2026年 3月度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</si>
  <si>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ｱﾄﾞ・バリュー　3-1</t>
    <phoneticPr fontId="3"/>
  </si>
  <si>
    <t>ｱﾄﾞ・バリュー　3-2</t>
    <phoneticPr fontId="3"/>
  </si>
  <si>
    <t>ｱﾄﾞ・バリュー　3-3</t>
    <phoneticPr fontId="3"/>
  </si>
  <si>
    <t>3/13号</t>
    <rPh sb="4" eb="5">
      <t>ゴウ</t>
    </rPh>
    <phoneticPr fontId="3"/>
  </si>
  <si>
    <t>3月度</t>
    <rPh sb="1" eb="3">
      <t>ガツド</t>
    </rPh>
    <phoneticPr fontId="3"/>
  </si>
  <si>
    <t xml:space="preserve"> 南版チラシ総受注　88,650　部</t>
    <rPh sb="1" eb="3">
      <t>ミナミバン</t>
    </rPh>
    <rPh sb="6" eb="9">
      <t>ソウジュチュウ</t>
    </rPh>
    <rPh sb="17" eb="18">
      <t>ブ</t>
    </rPh>
    <phoneticPr fontId="3"/>
  </si>
  <si>
    <t>3/27号</t>
    <rPh sb="4" eb="5">
      <t>ゴウ</t>
    </rPh>
    <phoneticPr fontId="3"/>
  </si>
  <si>
    <t xml:space="preserve"> リビング・プロシード　3/13号　3/27号</t>
    <rPh sb="16" eb="17">
      <t>ゴウ</t>
    </rPh>
    <rPh sb="22" eb="23">
      <t>ゴウ</t>
    </rPh>
    <phoneticPr fontId="3"/>
  </si>
  <si>
    <t>原価合計</t>
    <rPh sb="0" eb="2">
      <t>ゲンカ</t>
    </rPh>
    <rPh sb="2" eb="4">
      <t>ゴウケイ</t>
    </rPh>
    <phoneticPr fontId="3"/>
  </si>
  <si>
    <t>粗利</t>
    <rPh sb="0" eb="2">
      <t>アラリ</t>
    </rPh>
    <phoneticPr fontId="3"/>
  </si>
  <si>
    <t>山部6,378部 　＠65　 平地 15,936部　 ＠30 　　
折代 31,500部 ＠ 7,0
追加 1,372部 ＠ 35円</t>
    <rPh sb="0" eb="1">
      <t>ヤマ</t>
    </rPh>
    <rPh sb="1" eb="2">
      <t>ブ</t>
    </rPh>
    <rPh sb="7" eb="8">
      <t>ブ</t>
    </rPh>
    <rPh sb="15" eb="17">
      <t>ヘイチ</t>
    </rPh>
    <rPh sb="24" eb="25">
      <t>ブ</t>
    </rPh>
    <rPh sb="34" eb="35">
      <t>オリ</t>
    </rPh>
    <rPh sb="35" eb="36">
      <t>ダイ</t>
    </rPh>
    <rPh sb="43" eb="44">
      <t>ブ</t>
    </rPh>
    <rPh sb="51" eb="53">
      <t>ツイカ</t>
    </rPh>
    <rPh sb="59" eb="60">
      <t>ブ</t>
    </rPh>
    <rPh sb="65" eb="66">
      <t>エン</t>
    </rPh>
    <phoneticPr fontId="3"/>
  </si>
  <si>
    <t>㈱ケイピーエス　大阪支社　 　2025年  4月度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</si>
  <si>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t>売上合計
（税抜）</t>
    <rPh sb="0" eb="2">
      <t>ウリアゲ</t>
    </rPh>
    <rPh sb="2" eb="4">
      <t>ゴウケイ</t>
    </rPh>
    <rPh sb="6" eb="7">
      <t>ゼイ</t>
    </rPh>
    <rPh sb="7" eb="8">
      <t>ヌ</t>
    </rPh>
    <phoneticPr fontId="3"/>
  </si>
  <si>
    <t>売上合計
（税込）</t>
    <rPh sb="0" eb="2">
      <t>ウリアゲ</t>
    </rPh>
    <rPh sb="2" eb="4">
      <t>ゴウケイ</t>
    </rPh>
    <rPh sb="6" eb="7">
      <t>ゼイ</t>
    </rPh>
    <rPh sb="7" eb="8">
      <t>コ</t>
    </rPh>
    <phoneticPr fontId="3"/>
  </si>
  <si>
    <r>
      <t xml:space="preserve">交通費
</t>
    </r>
    <r>
      <rPr>
        <sz val="8"/>
        <color theme="1"/>
        <rFont val="ＭＳ Ｐゴシック"/>
        <family val="3"/>
        <charset val="128"/>
        <scheme val="minor"/>
      </rPr>
      <t>（駐車場代含む）</t>
    </r>
    <rPh sb="0" eb="3">
      <t>コウツウヒ</t>
    </rPh>
    <rPh sb="5" eb="8">
      <t>チュウシャジョウ</t>
    </rPh>
    <rPh sb="8" eb="9">
      <t>ダイ</t>
    </rPh>
    <rPh sb="9" eb="10">
      <t>フク</t>
    </rPh>
    <phoneticPr fontId="3"/>
  </si>
  <si>
    <t>単チラ　メットライフ</t>
    <rPh sb="0" eb="1">
      <t>タン</t>
    </rPh>
    <phoneticPr fontId="3"/>
  </si>
  <si>
    <t>　メットライフ 千里中央（豊中・吹田市）  4/8・9・15 開催分</t>
    <rPh sb="8" eb="12">
      <t>センリチュウオウ</t>
    </rPh>
    <rPh sb="13" eb="15">
      <t>トヨナカ</t>
    </rPh>
    <rPh sb="16" eb="18">
      <t>スイタ</t>
    </rPh>
    <rPh sb="18" eb="19">
      <t>シ</t>
    </rPh>
    <rPh sb="33" eb="34">
      <t>ブン</t>
    </rPh>
    <phoneticPr fontId="3"/>
  </si>
  <si>
    <t>　メットライフ　茨木市　   4/16・25 開催分</t>
    <rPh sb="8" eb="10">
      <t>イバラキ</t>
    </rPh>
    <rPh sb="10" eb="11">
      <t>シ</t>
    </rPh>
    <rPh sb="23" eb="25">
      <t>カイサイ</t>
    </rPh>
    <rPh sb="25" eb="26">
      <t>ブン</t>
    </rPh>
    <phoneticPr fontId="3"/>
  </si>
  <si>
    <t>　メットライフ　東大阪市　4/23・27 開催分</t>
    <rPh sb="8" eb="11">
      <t>ヒガシオオサカ</t>
    </rPh>
    <rPh sb="11" eb="12">
      <t>シ</t>
    </rPh>
    <rPh sb="21" eb="23">
      <t>カイサイ</t>
    </rPh>
    <rPh sb="23" eb="24">
      <t>ブン</t>
    </rPh>
    <phoneticPr fontId="3"/>
  </si>
  <si>
    <t>ｱﾄﾞ・バリュー　4-1</t>
    <phoneticPr fontId="3"/>
  </si>
  <si>
    <t>　4/1 ～ 9</t>
    <phoneticPr fontId="3"/>
  </si>
  <si>
    <t>　　　〃　　　 　4-2</t>
    <phoneticPr fontId="3"/>
  </si>
  <si>
    <t>　4/1 ～ 12　茨木</t>
    <rPh sb="10" eb="12">
      <t>イバラキ</t>
    </rPh>
    <phoneticPr fontId="3"/>
  </si>
  <si>
    <t>　　　〃　　　 　4-3</t>
    <phoneticPr fontId="3"/>
  </si>
  <si>
    <t>　　　  〃　　　豊中</t>
    <rPh sb="9" eb="11">
      <t>トヨナカ</t>
    </rPh>
    <phoneticPr fontId="3"/>
  </si>
  <si>
    <t>　　　〃　　　 　4-4</t>
  </si>
  <si>
    <t>　4/14 ～ 18</t>
    <phoneticPr fontId="3"/>
  </si>
  <si>
    <t xml:space="preserve"> ﾃｨｰﾌﾟﾛﾓｰｼｮﾝ</t>
    <phoneticPr fontId="3"/>
  </si>
  <si>
    <t xml:space="preserve"> かぜとゆき 神速通販</t>
    <phoneticPr fontId="3"/>
  </si>
  <si>
    <t>4/25 号</t>
    <rPh sb="5" eb="6">
      <t>ゴウ</t>
    </rPh>
    <phoneticPr fontId="3"/>
  </si>
  <si>
    <t xml:space="preserve"> 枚方　　TP</t>
    <rPh sb="1" eb="3">
      <t>ヒラカタ</t>
    </rPh>
    <phoneticPr fontId="3"/>
  </si>
  <si>
    <t xml:space="preserve"> 高槻 ・ 茨木</t>
    <rPh sb="1" eb="3">
      <t>タカツキ</t>
    </rPh>
    <rPh sb="6" eb="8">
      <t>イバラキ</t>
    </rPh>
    <phoneticPr fontId="3"/>
  </si>
  <si>
    <t xml:space="preserve"> 豊中 ・ 吹田 ・ 箕面</t>
    <rPh sb="1" eb="3">
      <t>トヨナカ</t>
    </rPh>
    <rPh sb="6" eb="8">
      <t>スイタ</t>
    </rPh>
    <rPh sb="11" eb="13">
      <t>ミノオ</t>
    </rPh>
    <phoneticPr fontId="3"/>
  </si>
  <si>
    <t>4月度</t>
    <rPh sb="1" eb="3">
      <t>ガツド</t>
    </rPh>
    <phoneticPr fontId="3"/>
  </si>
  <si>
    <t>北大阪営業部</t>
    <rPh sb="0" eb="3">
      <t>キタオオサカ</t>
    </rPh>
    <rPh sb="3" eb="6">
      <t>エイギョウブ</t>
    </rPh>
    <phoneticPr fontId="3"/>
  </si>
  <si>
    <t>　アド・バリュー</t>
    <phoneticPr fontId="3"/>
  </si>
  <si>
    <t>　リビング・プロシード 　4/25号</t>
    <rPh sb="17" eb="18">
      <t>ゴウ</t>
    </rPh>
    <phoneticPr fontId="3"/>
  </si>
  <si>
    <t>　ﾃｨｰﾌﾟﾛﾓｰｼｮﾝ</t>
    <phoneticPr fontId="3"/>
  </si>
  <si>
    <t>㈱ケイピーエス　大阪支社　 　2025年  5月度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</si>
  <si>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t xml:space="preserve"> 挟み込み追加</t>
    <rPh sb="1" eb="2">
      <t>ハサ</t>
    </rPh>
    <rPh sb="3" eb="4">
      <t>コ</t>
    </rPh>
    <rPh sb="5" eb="7">
      <t>ツイカ</t>
    </rPh>
    <phoneticPr fontId="3"/>
  </si>
  <si>
    <t>　メットライフ 豊中市 （文化芸術ｾﾝﾀｰ）5/13・28 開催分</t>
    <rPh sb="8" eb="10">
      <t>トヨナカ</t>
    </rPh>
    <rPh sb="10" eb="11">
      <t>シ</t>
    </rPh>
    <rPh sb="13" eb="15">
      <t>ブンカ</t>
    </rPh>
    <rPh sb="15" eb="17">
      <t>ゲイジュツ</t>
    </rPh>
    <rPh sb="32" eb="33">
      <t>ブン</t>
    </rPh>
    <phoneticPr fontId="3"/>
  </si>
  <si>
    <t>　メットライフ　吹田市（メインシアター）5/20・30 開催分</t>
    <rPh sb="8" eb="10">
      <t>スイタ</t>
    </rPh>
    <rPh sb="10" eb="11">
      <t>シ</t>
    </rPh>
    <rPh sb="28" eb="30">
      <t>カイサイ</t>
    </rPh>
    <rPh sb="30" eb="31">
      <t>ブン</t>
    </rPh>
    <phoneticPr fontId="3"/>
  </si>
  <si>
    <t>テニスストーリｰ</t>
    <phoneticPr fontId="3"/>
  </si>
  <si>
    <t>ｱﾄﾞ・バリュー　5-1</t>
    <phoneticPr fontId="3"/>
  </si>
  <si>
    <t>　　　〃　　　 　5-2</t>
    <phoneticPr fontId="3"/>
  </si>
  <si>
    <t>　　　〃　　　 　5-3</t>
  </si>
  <si>
    <t>　　　〃　　　 　5-4</t>
  </si>
  <si>
    <t>5/30 号</t>
    <rPh sb="5" eb="6">
      <t>ゴウ</t>
    </rPh>
    <phoneticPr fontId="3"/>
  </si>
  <si>
    <t xml:space="preserve"> 枚方</t>
    <rPh sb="1" eb="3">
      <t>ヒラカタ</t>
    </rPh>
    <phoneticPr fontId="3"/>
  </si>
  <si>
    <t>5月度</t>
    <rPh sb="1" eb="3">
      <t>ガツド</t>
    </rPh>
    <phoneticPr fontId="3"/>
  </si>
  <si>
    <t>　関西ぱど</t>
    <rPh sb="1" eb="3">
      <t>カンサイ</t>
    </rPh>
    <phoneticPr fontId="3"/>
  </si>
  <si>
    <t>　ｱﾄﾞ・バリュー</t>
    <phoneticPr fontId="3"/>
  </si>
  <si>
    <t>　リビング・プロシード 　5/30号</t>
    <rPh sb="17" eb="18">
      <t>ゴウ</t>
    </rPh>
    <phoneticPr fontId="3"/>
  </si>
  <si>
    <t>　税込</t>
    <rPh sb="1" eb="3">
      <t>ゼイコミ</t>
    </rPh>
    <phoneticPr fontId="3"/>
  </si>
  <si>
    <t>㈱ケイピーエス　大阪支社　 　2025年  6月度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</si>
  <si>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r>
      <t xml:space="preserve"> </t>
    </r>
    <r>
      <rPr>
        <sz val="10"/>
        <rFont val="ＭＳ Ｐゴシック"/>
        <family val="3"/>
        <charset val="128"/>
        <scheme val="minor"/>
      </rPr>
      <t>追加地区（挟み込み＆配布）　56003・56901</t>
    </r>
    <rPh sb="1" eb="3">
      <t>ツイカ</t>
    </rPh>
    <rPh sb="3" eb="5">
      <t>チク</t>
    </rPh>
    <rPh sb="6" eb="7">
      <t>ハサ</t>
    </rPh>
    <rPh sb="8" eb="9">
      <t>コ</t>
    </rPh>
    <rPh sb="11" eb="13">
      <t>ハイフ</t>
    </rPh>
    <phoneticPr fontId="3"/>
  </si>
  <si>
    <t>　メットライフ　茨木市（クリエイトセンター） 6/6・18 開催分</t>
    <rPh sb="8" eb="10">
      <t>イバラキ</t>
    </rPh>
    <rPh sb="10" eb="11">
      <t>シ</t>
    </rPh>
    <rPh sb="30" eb="32">
      <t>カイサイ</t>
    </rPh>
    <rPh sb="32" eb="33">
      <t>ブン</t>
    </rPh>
    <phoneticPr fontId="3"/>
  </si>
  <si>
    <t>　メットライフ　東大阪市　6/4・15 開催分　　ﾃｨｰﾌﾟﾛ</t>
    <rPh sb="8" eb="11">
      <t>ヒガシオオサカ</t>
    </rPh>
    <rPh sb="11" eb="12">
      <t>シ</t>
    </rPh>
    <rPh sb="20" eb="22">
      <t>カイサイ</t>
    </rPh>
    <rPh sb="22" eb="23">
      <t>ブン</t>
    </rPh>
    <phoneticPr fontId="3"/>
  </si>
  <si>
    <t>　メットライフ　京都　6/24・27・7/2 開催分　日本情報ｻｰﾋﾞｽ</t>
    <rPh sb="8" eb="10">
      <t>キョウト</t>
    </rPh>
    <rPh sb="23" eb="25">
      <t>カイサイ</t>
    </rPh>
    <rPh sb="25" eb="26">
      <t>ブン</t>
    </rPh>
    <rPh sb="27" eb="29">
      <t>ニホン</t>
    </rPh>
    <rPh sb="29" eb="31">
      <t>ジョウホウ</t>
    </rPh>
    <phoneticPr fontId="3"/>
  </si>
  <si>
    <t>NSI 古川橋</t>
    <rPh sb="4" eb="7">
      <t>フルカワバシ</t>
    </rPh>
    <phoneticPr fontId="3"/>
  </si>
  <si>
    <t xml:space="preserve"> 誤納品の為、チラシ引き取り</t>
    <rPh sb="1" eb="2">
      <t>ゴ</t>
    </rPh>
    <rPh sb="2" eb="4">
      <t>ノウヒン</t>
    </rPh>
    <rPh sb="5" eb="6">
      <t>タメ</t>
    </rPh>
    <rPh sb="10" eb="11">
      <t>ヒ</t>
    </rPh>
    <rPh sb="12" eb="13">
      <t>ト</t>
    </rPh>
    <phoneticPr fontId="3"/>
  </si>
  <si>
    <t>ｱﾄﾞ・バリュー　6-1</t>
    <phoneticPr fontId="3"/>
  </si>
  <si>
    <t>　　　〃　　　 　6-2</t>
    <phoneticPr fontId="3"/>
  </si>
  <si>
    <t>　　　〃　　　 　6-3</t>
    <phoneticPr fontId="3"/>
  </si>
  <si>
    <t>6/27号</t>
    <rPh sb="4" eb="5">
      <t>ゴウ</t>
    </rPh>
    <phoneticPr fontId="3"/>
  </si>
  <si>
    <t>6月度</t>
    <rPh sb="1" eb="3">
      <t>ガツド</t>
    </rPh>
    <phoneticPr fontId="3"/>
  </si>
  <si>
    <t>　リビング・プロシード 　6/27号</t>
    <rPh sb="17" eb="18">
      <t>ゴウ</t>
    </rPh>
    <phoneticPr fontId="3"/>
  </si>
  <si>
    <t>粗利</t>
  </si>
  <si>
    <t>㈱ケイピーエス　大阪支社　 　2025年  7月度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</si>
  <si>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t>　メットライフ　東大阪市　6/27・30 開催分　　ﾃｨｰﾌﾟﾛ</t>
    <rPh sb="8" eb="11">
      <t>ヒガシオオサカ</t>
    </rPh>
    <rPh sb="11" eb="12">
      <t>シ</t>
    </rPh>
    <rPh sb="21" eb="23">
      <t>カイサイ</t>
    </rPh>
    <rPh sb="23" eb="24">
      <t>ブン</t>
    </rPh>
    <phoneticPr fontId="3"/>
  </si>
  <si>
    <t>参議院選挙
 (東大阪市)</t>
    <rPh sb="0" eb="3">
      <t>サンギイン</t>
    </rPh>
    <rPh sb="3" eb="5">
      <t>センキョ</t>
    </rPh>
    <rPh sb="8" eb="12">
      <t>ヒガシオオサカシ</t>
    </rPh>
    <phoneticPr fontId="3"/>
  </si>
  <si>
    <t>ｱﾄﾞ・バリュー　7-1</t>
    <phoneticPr fontId="3"/>
  </si>
  <si>
    <t>　　　〃　　　 　7-2</t>
    <phoneticPr fontId="3"/>
  </si>
  <si>
    <t>　　　〃　　　 　7-3</t>
  </si>
  <si>
    <t>　　　〃　　　 　7-4</t>
  </si>
  <si>
    <t>7/18 号</t>
    <rPh sb="5" eb="6">
      <t>ゴウ</t>
    </rPh>
    <phoneticPr fontId="3"/>
  </si>
  <si>
    <t>7月度</t>
    <rPh sb="1" eb="3">
      <t>ガツド</t>
    </rPh>
    <phoneticPr fontId="3"/>
  </si>
  <si>
    <t>　リビング・プロシード 　7/18号</t>
    <rPh sb="17" eb="18">
      <t>ゴウ</t>
    </rPh>
    <phoneticPr fontId="3"/>
  </si>
  <si>
    <t>㈱ケイピーエス　大阪支社　 　2025年  8月度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</si>
  <si>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t xml:space="preserve"> 追加地区 34701　</t>
    <rPh sb="1" eb="5">
      <t>ツイカチク</t>
    </rPh>
    <phoneticPr fontId="3"/>
  </si>
  <si>
    <t>買取専科 ・ 守口</t>
    <rPh sb="0" eb="2">
      <t>カイトリ</t>
    </rPh>
    <rPh sb="2" eb="4">
      <t>センカ</t>
    </rPh>
    <rPh sb="7" eb="9">
      <t>モリグチ</t>
    </rPh>
    <phoneticPr fontId="3"/>
  </si>
  <si>
    <t>買取専科 ・ 寝屋川</t>
    <rPh sb="0" eb="2">
      <t>カイトリ</t>
    </rPh>
    <rPh sb="2" eb="4">
      <t>センカ</t>
    </rPh>
    <rPh sb="7" eb="10">
      <t>ネヤガワ</t>
    </rPh>
    <phoneticPr fontId="3"/>
  </si>
  <si>
    <t>業務スーパー</t>
    <rPh sb="0" eb="2">
      <t>ギョウム</t>
    </rPh>
    <phoneticPr fontId="3"/>
  </si>
  <si>
    <t>ｱﾄﾞ・バリュー　8-1</t>
    <phoneticPr fontId="3"/>
  </si>
  <si>
    <t>　　　〃　　　 　8-2</t>
    <phoneticPr fontId="3"/>
  </si>
  <si>
    <t>ティープロモーション</t>
    <phoneticPr fontId="3"/>
  </si>
  <si>
    <t xml:space="preserve"> かぜとゆき</t>
    <phoneticPr fontId="3"/>
  </si>
  <si>
    <t>8/29 号</t>
    <rPh sb="5" eb="6">
      <t>ゴウ</t>
    </rPh>
    <phoneticPr fontId="3"/>
  </si>
  <si>
    <t xml:space="preserve"> 豊中 ・ 吹田</t>
    <rPh sb="1" eb="3">
      <t>トヨナカ</t>
    </rPh>
    <rPh sb="6" eb="8">
      <t>スイタ</t>
    </rPh>
    <phoneticPr fontId="3"/>
  </si>
  <si>
    <t>８月度</t>
    <rPh sb="1" eb="3">
      <t>ガツド</t>
    </rPh>
    <phoneticPr fontId="3"/>
  </si>
  <si>
    <t>　リビング・プロシード 　8/29号</t>
    <rPh sb="17" eb="18">
      <t>ゴウ</t>
    </rPh>
    <phoneticPr fontId="3"/>
  </si>
  <si>
    <t>　ティープロモーション</t>
    <phoneticPr fontId="3"/>
  </si>
  <si>
    <t>㈱ケイピーエス　大阪支社　 　2025年  9月度 売上表</t>
    <rPh sb="8" eb="10">
      <t>オオサカ</t>
    </rPh>
    <rPh sb="10" eb="12">
      <t>シシャ</t>
    </rPh>
    <rPh sb="19" eb="20">
      <t>ネン</t>
    </rPh>
    <rPh sb="23" eb="25">
      <t>ガツド</t>
    </rPh>
    <rPh sb="28" eb="29">
      <t>ヒョウ</t>
    </rPh>
    <phoneticPr fontId="3"/>
  </si>
  <si>
    <r>
      <t xml:space="preserve"> </t>
    </r>
    <r>
      <rPr>
        <sz val="10"/>
        <rFont val="ＭＳ Ｐゴシック"/>
        <family val="3"/>
        <charset val="128"/>
        <scheme val="minor"/>
      </rPr>
      <t>配布追加 056407</t>
    </r>
    <rPh sb="1" eb="3">
      <t>ハイフ</t>
    </rPh>
    <rPh sb="3" eb="5">
      <t>ツイカ</t>
    </rPh>
    <phoneticPr fontId="3"/>
  </si>
  <si>
    <t>メットライフ</t>
    <phoneticPr fontId="3"/>
  </si>
  <si>
    <t>　メットライフ　茨木市（クリエイトセンター） 9/17・19 開催分</t>
    <rPh sb="8" eb="10">
      <t>イバラキ</t>
    </rPh>
    <rPh sb="10" eb="11">
      <t>シ</t>
    </rPh>
    <rPh sb="31" eb="33">
      <t>カイサイ</t>
    </rPh>
    <rPh sb="33" eb="34">
      <t>ブン</t>
    </rPh>
    <phoneticPr fontId="3"/>
  </si>
  <si>
    <t>　メットライフ　吹田市　9/16・29 開催分</t>
    <rPh sb="8" eb="10">
      <t>スイタ</t>
    </rPh>
    <rPh sb="10" eb="11">
      <t>シ</t>
    </rPh>
    <rPh sb="20" eb="22">
      <t>カイサイ</t>
    </rPh>
    <rPh sb="22" eb="23">
      <t>ブン</t>
    </rPh>
    <phoneticPr fontId="3"/>
  </si>
  <si>
    <t>　メットライフ　豊中市  10/1 ・ 7 開催分</t>
    <rPh sb="8" eb="10">
      <t>トヨナカ</t>
    </rPh>
    <rPh sb="10" eb="11">
      <t>シ</t>
    </rPh>
    <phoneticPr fontId="3"/>
  </si>
  <si>
    <t>　メットライフ　東大阪市  10/1 ・ 7 開催分　ﾃｨｰﾌﾟﾛﾓｰｼｮﾝ</t>
    <rPh sb="8" eb="11">
      <t>ヒガシオオサカ</t>
    </rPh>
    <rPh sb="23" eb="25">
      <t>カイサイ</t>
    </rPh>
    <rPh sb="25" eb="26">
      <t>ブン</t>
    </rPh>
    <phoneticPr fontId="3"/>
  </si>
  <si>
    <t>　メットライフ　京都市  10月開催分　日本情報サービス</t>
    <rPh sb="15" eb="16">
      <t>ガツ</t>
    </rPh>
    <rPh sb="16" eb="18">
      <t>カイサイ</t>
    </rPh>
    <rPh sb="18" eb="19">
      <t>ブン</t>
    </rPh>
    <rPh sb="20" eb="22">
      <t>ニホン</t>
    </rPh>
    <rPh sb="22" eb="24">
      <t>ジョウホウ</t>
    </rPh>
    <phoneticPr fontId="3"/>
  </si>
  <si>
    <t xml:space="preserve"> 守口市</t>
    <rPh sb="1" eb="4">
      <t>モリグチシ</t>
    </rPh>
    <phoneticPr fontId="3"/>
  </si>
  <si>
    <t xml:space="preserve"> 寝屋川市</t>
    <rPh sb="1" eb="5">
      <t>ネヤガワシ</t>
    </rPh>
    <phoneticPr fontId="3"/>
  </si>
  <si>
    <t>ｱﾄﾞ・バリュー　9-1</t>
    <phoneticPr fontId="3"/>
  </si>
  <si>
    <t>　　　〃　　　 　9-2</t>
    <phoneticPr fontId="3"/>
  </si>
  <si>
    <t>　　　〃　　　 　9-3</t>
  </si>
  <si>
    <t>9/26 号</t>
    <rPh sb="5" eb="6">
      <t>ゴウ</t>
    </rPh>
    <phoneticPr fontId="3"/>
  </si>
  <si>
    <t>9月度</t>
    <rPh sb="1" eb="3">
      <t>ガツド</t>
    </rPh>
    <phoneticPr fontId="3"/>
  </si>
  <si>
    <t>　リビング・プロシード 　9/26 号</t>
    <rPh sb="18" eb="19">
      <t>ゴウ</t>
    </rPh>
    <phoneticPr fontId="3"/>
  </si>
  <si>
    <t>　メットライフ 茨木市　10/15 ・ 23 開催</t>
    <rPh sb="8" eb="10">
      <t>イバラキ</t>
    </rPh>
    <rPh sb="10" eb="11">
      <t>シ</t>
    </rPh>
    <rPh sb="23" eb="25">
      <t>カイサイ</t>
    </rPh>
    <phoneticPr fontId="3"/>
  </si>
  <si>
    <t>　メットライフ 豊中・吹田 （千里文化センター）10/14・24 開催  CJ</t>
    <rPh sb="8" eb="10">
      <t>トヨナカ</t>
    </rPh>
    <rPh sb="11" eb="13">
      <t>スイタ</t>
    </rPh>
    <rPh sb="15" eb="17">
      <t>センリ</t>
    </rPh>
    <rPh sb="17" eb="19">
      <t>ブンカ</t>
    </rPh>
    <rPh sb="33" eb="35">
      <t>カイサイ</t>
    </rPh>
    <phoneticPr fontId="3"/>
  </si>
  <si>
    <t xml:space="preserve"> メットライフ  吹田市　11/5 ・10 開催　CJ</t>
    <rPh sb="9" eb="11">
      <t>スイタ</t>
    </rPh>
    <rPh sb="11" eb="12">
      <t>シ</t>
    </rPh>
    <rPh sb="22" eb="24">
      <t>カイサイ</t>
    </rPh>
    <phoneticPr fontId="3"/>
  </si>
  <si>
    <t xml:space="preserve"> メットライフ  茨木市　11/11 ・19 開催  CJ</t>
    <rPh sb="9" eb="11">
      <t>イバラキ</t>
    </rPh>
    <rPh sb="11" eb="12">
      <t>シ</t>
    </rPh>
    <rPh sb="23" eb="25">
      <t>カイサイ</t>
    </rPh>
    <phoneticPr fontId="3"/>
  </si>
  <si>
    <t xml:space="preserve"> メットライフ  豊中市　11/18 ・21 開催  CJ</t>
    <rPh sb="9" eb="11">
      <t>トヨナカ</t>
    </rPh>
    <rPh sb="11" eb="12">
      <t>シ</t>
    </rPh>
    <rPh sb="23" eb="25">
      <t>カイサイ</t>
    </rPh>
    <phoneticPr fontId="3"/>
  </si>
  <si>
    <t>枚方市市議会議員</t>
    <rPh sb="0" eb="2">
      <t>ヒラカタ</t>
    </rPh>
    <rPh sb="2" eb="3">
      <t>シ</t>
    </rPh>
    <rPh sb="3" eb="8">
      <t>シギカイギイン</t>
    </rPh>
    <phoneticPr fontId="3"/>
  </si>
  <si>
    <t xml:space="preserve"> 長友先生</t>
    <phoneticPr fontId="3"/>
  </si>
  <si>
    <t xml:space="preserve"> 前田先生</t>
    <phoneticPr fontId="3"/>
  </si>
  <si>
    <t>新日本セキュリティ</t>
    <rPh sb="0" eb="3">
      <t>シンニホン</t>
    </rPh>
    <phoneticPr fontId="3"/>
  </si>
  <si>
    <t xml:space="preserve"> ケイピーエス 本社 （守口市・門真市）</t>
    <rPh sb="8" eb="10">
      <t>ホンシャ</t>
    </rPh>
    <rPh sb="12" eb="15">
      <t>モリグチシ</t>
    </rPh>
    <rPh sb="16" eb="19">
      <t>カドマシ</t>
    </rPh>
    <phoneticPr fontId="3"/>
  </si>
  <si>
    <t xml:space="preserve"> ケイピーエス 本社 （京阪北版 外注地区）</t>
    <rPh sb="8" eb="10">
      <t>ホンシャ</t>
    </rPh>
    <rPh sb="12" eb="14">
      <t>ケイハン</t>
    </rPh>
    <rPh sb="14" eb="15">
      <t>キタ</t>
    </rPh>
    <rPh sb="15" eb="16">
      <t>ハン</t>
    </rPh>
    <rPh sb="17" eb="19">
      <t>ガイチュウ</t>
    </rPh>
    <rPh sb="19" eb="21">
      <t>チク</t>
    </rPh>
    <phoneticPr fontId="3"/>
  </si>
  <si>
    <t>　　　〃　　　 　10-2</t>
    <phoneticPr fontId="3"/>
  </si>
  <si>
    <t>　　　〃　　　 　10-3</t>
  </si>
  <si>
    <t>　北大阪営業部</t>
    <rPh sb="1" eb="2">
      <t>キタ</t>
    </rPh>
    <rPh sb="2" eb="4">
      <t>オオサカ</t>
    </rPh>
    <rPh sb="4" eb="6">
      <t>エイギョウ</t>
    </rPh>
    <rPh sb="6" eb="7">
      <t>ブ</t>
    </rPh>
    <phoneticPr fontId="3"/>
  </si>
  <si>
    <t>　リビング・プロシード 　10月号</t>
    <rPh sb="15" eb="16">
      <t>ガツ</t>
    </rPh>
    <rPh sb="16" eb="17">
      <t>ゴウ</t>
    </rPh>
    <phoneticPr fontId="3"/>
  </si>
  <si>
    <t xml:space="preserve">  KPS 本社</t>
    <rPh sb="6" eb="8">
      <t>ホンシャ</t>
    </rPh>
    <phoneticPr fontId="3"/>
  </si>
  <si>
    <t xml:space="preserve"> 北版チラシ総受注　863,943　部</t>
    <rPh sb="1" eb="2">
      <t>キタ</t>
    </rPh>
    <rPh sb="2" eb="3">
      <t>バン</t>
    </rPh>
    <rPh sb="6" eb="9">
      <t>ソウジュチュウ</t>
    </rPh>
    <rPh sb="18" eb="19">
      <t>ブ</t>
    </rPh>
    <phoneticPr fontId="3"/>
  </si>
  <si>
    <t>原価率</t>
    <phoneticPr fontId="3"/>
  </si>
  <si>
    <t>営業利益率</t>
    <rPh sb="0" eb="2">
      <t>エイギョウ</t>
    </rPh>
    <rPh sb="2" eb="4">
      <t>リエキ</t>
    </rPh>
    <rPh sb="4" eb="5">
      <t>リツ</t>
    </rPh>
    <phoneticPr fontId="3"/>
  </si>
  <si>
    <t xml:space="preserve"> 高槻・茨木　clovejapan　10600*5.5+4450*7.7＝92565</t>
    <rPh sb="1" eb="3">
      <t>タカツキ</t>
    </rPh>
    <rPh sb="4" eb="6">
      <t>イバラキ</t>
    </rPh>
    <phoneticPr fontId="3"/>
  </si>
  <si>
    <t xml:space="preserve"> 高槻・茨木　clovejapan　</t>
    <rPh sb="1" eb="3">
      <t>タカツキ</t>
    </rPh>
    <rPh sb="4" eb="6">
      <t>イバラキ</t>
    </rPh>
    <phoneticPr fontId="3"/>
  </si>
  <si>
    <t xml:space="preserve"> 高槻・茨木　clovejapan　15550*5.5＝85525</t>
    <rPh sb="1" eb="3">
      <t>タカツキ</t>
    </rPh>
    <rPh sb="4" eb="6">
      <t>イバラキ</t>
    </rPh>
    <phoneticPr fontId="3"/>
  </si>
  <si>
    <t>㈱ケイピーエス　大阪支社　 　2026年 4月度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</si>
  <si>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ｱﾄﾞ・バリュー　4-2</t>
    <phoneticPr fontId="3"/>
  </si>
  <si>
    <t>ｱﾄﾞ・バリュー　4-3</t>
    <phoneticPr fontId="3"/>
  </si>
  <si>
    <t xml:space="preserve"> 南版チラシ総受注　116,331　部</t>
    <rPh sb="1" eb="3">
      <t>ミナミバン</t>
    </rPh>
    <rPh sb="6" eb="9">
      <t>ソウジュチュウ</t>
    </rPh>
    <rPh sb="18" eb="19">
      <t>ブ</t>
    </rPh>
    <phoneticPr fontId="3"/>
  </si>
  <si>
    <t xml:space="preserve"> リビング・プロシード　4/24号</t>
    <rPh sb="16" eb="17">
      <t>ゴウ</t>
    </rPh>
    <phoneticPr fontId="3"/>
  </si>
  <si>
    <t>4/27号</t>
    <rPh sb="4" eb="5">
      <t>ゴウ</t>
    </rPh>
    <phoneticPr fontId="3"/>
  </si>
  <si>
    <t>ｱﾄﾞ・バリュー　4-4</t>
    <phoneticPr fontId="3"/>
  </si>
  <si>
    <t xml:space="preserve"> 配夢 ＠ 3,0</t>
    <rPh sb="1" eb="3">
      <t>ハイユメ</t>
    </rPh>
    <phoneticPr fontId="3"/>
  </si>
  <si>
    <t>アクバススポーツクラブ</t>
    <phoneticPr fontId="3"/>
  </si>
  <si>
    <t>5/27号</t>
    <rPh sb="4" eb="5">
      <t>ゴウ</t>
    </rPh>
    <phoneticPr fontId="3"/>
  </si>
  <si>
    <t>ｱﾄﾞ・バリュー　5-2</t>
    <phoneticPr fontId="3"/>
  </si>
  <si>
    <t>ｱﾄﾞ・バリュー　5-3</t>
    <phoneticPr fontId="3"/>
  </si>
  <si>
    <t>ｱﾄﾞ・バリュー　5-4</t>
    <phoneticPr fontId="3"/>
  </si>
  <si>
    <t>㈱ケイピーエス　大阪支社　 　2026年 5月度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</si>
  <si>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去年 3,764,956</t>
    <rPh sb="0" eb="2">
      <t>キョネン</t>
    </rPh>
    <phoneticPr fontId="3"/>
  </si>
  <si>
    <t>去年 1,219,044</t>
    <rPh sb="0" eb="2">
      <t>キョネン</t>
    </rPh>
    <phoneticPr fontId="3"/>
  </si>
  <si>
    <t>去年 3,688,403</t>
    <rPh sb="0" eb="2">
      <t>キョネン</t>
    </rPh>
    <phoneticPr fontId="3"/>
  </si>
  <si>
    <t>去年 1,050,595</t>
    <rPh sb="0" eb="2">
      <t>キョネン</t>
    </rPh>
    <phoneticPr fontId="3"/>
  </si>
  <si>
    <t xml:space="preserve"> 北版チラシ総受注　　601,354部
 CL 7,626部 ＠6,0</t>
    <rPh sb="1" eb="2">
      <t>キタ</t>
    </rPh>
    <rPh sb="2" eb="3">
      <t>バン</t>
    </rPh>
    <rPh sb="6" eb="9">
      <t>ソウジュチュウ</t>
    </rPh>
    <rPh sb="18" eb="19">
      <t>ブ</t>
    </rPh>
    <rPh sb="29" eb="30">
      <t>ブ</t>
    </rPh>
    <phoneticPr fontId="3"/>
  </si>
  <si>
    <t xml:space="preserve"> 配夢 CL  ＠ 3.0</t>
    <rPh sb="1" eb="2">
      <t>ハイ</t>
    </rPh>
    <rPh sb="2" eb="3">
      <t>ユメ</t>
    </rPh>
    <phoneticPr fontId="3"/>
  </si>
  <si>
    <t xml:space="preserve"> 南版チラシ総受注　　80983部</t>
    <rPh sb="1" eb="3">
      <t>ミナミバン</t>
    </rPh>
    <rPh sb="6" eb="9">
      <t>ソウジュチュウ</t>
    </rPh>
    <rPh sb="16" eb="17">
      <t>ブ</t>
    </rPh>
    <phoneticPr fontId="3"/>
  </si>
  <si>
    <t xml:space="preserve"> 北版チラシ総受注　　424,633部</t>
    <rPh sb="1" eb="2">
      <t>キタ</t>
    </rPh>
    <rPh sb="2" eb="3">
      <t>バン</t>
    </rPh>
    <rPh sb="6" eb="9">
      <t>ソウジュチュウ</t>
    </rPh>
    <rPh sb="18" eb="19">
      <t>ブ</t>
    </rPh>
    <phoneticPr fontId="3"/>
  </si>
  <si>
    <t xml:space="preserve"> リビング・プロシード　5/29号</t>
    <rPh sb="16" eb="17">
      <t>ゴウ</t>
    </rPh>
    <phoneticPr fontId="3"/>
  </si>
  <si>
    <t>㈱ケイピーエス　大阪支社　 　2026年 6月度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</si>
  <si>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 xml:space="preserve"> 配夢  ＠ 3.0</t>
    <rPh sb="1" eb="2">
      <t>ハイ</t>
    </rPh>
    <rPh sb="2" eb="3">
      <t>ユメ</t>
    </rPh>
    <phoneticPr fontId="3"/>
  </si>
  <si>
    <t>ｱﾄﾞ・バリュー　6-2</t>
    <phoneticPr fontId="3"/>
  </si>
  <si>
    <t>ｱﾄﾞ・バリュー　6-3</t>
    <phoneticPr fontId="3"/>
  </si>
  <si>
    <t>ｱﾄﾞ・バリュー　6-4</t>
    <phoneticPr fontId="3"/>
  </si>
  <si>
    <t>進和プロモーション</t>
    <rPh sb="0" eb="2">
      <t>シンワ</t>
    </rPh>
    <phoneticPr fontId="3"/>
  </si>
  <si>
    <t xml:space="preserve"> リビング・プロシード　6/26号</t>
    <rPh sb="16" eb="17">
      <t>ゴウ</t>
    </rPh>
    <phoneticPr fontId="3"/>
  </si>
  <si>
    <t xml:space="preserve"> 北版チラシ総受注　　799,975部</t>
    <rPh sb="1" eb="2">
      <t>キタ</t>
    </rPh>
    <rPh sb="2" eb="3">
      <t>バン</t>
    </rPh>
    <rPh sb="6" eb="9">
      <t>ソウジュチュウ</t>
    </rPh>
    <rPh sb="18" eb="19">
      <t>ブ</t>
    </rPh>
    <phoneticPr fontId="3"/>
  </si>
  <si>
    <t xml:space="preserve"> 南版チラシ総受注　　166,038部</t>
    <rPh sb="1" eb="3">
      <t>ミナミバン</t>
    </rPh>
    <rPh sb="6" eb="9">
      <t>ソウジュチュウ</t>
    </rPh>
    <rPh sb="18" eb="19">
      <t>ブ</t>
    </rPh>
    <phoneticPr fontId="3"/>
  </si>
  <si>
    <t>6/26号</t>
    <rPh sb="4" eb="5">
      <t>ゴウ</t>
    </rPh>
    <phoneticPr fontId="3"/>
  </si>
  <si>
    <t>㈱ケイピーエス　大阪支社　 　2026年 7月度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</si>
  <si>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ｱﾄﾞ・バリュー　7-2</t>
    <phoneticPr fontId="3"/>
  </si>
  <si>
    <t>ｱﾄﾞ・バリュー　7-3</t>
    <phoneticPr fontId="3"/>
  </si>
  <si>
    <t>ｱﾄﾞ・バリュー　7-4</t>
    <phoneticPr fontId="3"/>
  </si>
  <si>
    <t xml:space="preserve"> 南版チラシ総受注　　114,720部</t>
    <rPh sb="1" eb="3">
      <t>ミナミバン</t>
    </rPh>
    <rPh sb="6" eb="9">
      <t>ソウジュチュウ</t>
    </rPh>
    <rPh sb="18" eb="19">
      <t>ブ</t>
    </rPh>
    <phoneticPr fontId="3"/>
  </si>
  <si>
    <t xml:space="preserve"> 北版チラシ総受注　　461,993部</t>
    <rPh sb="1" eb="2">
      <t>キタ</t>
    </rPh>
    <rPh sb="2" eb="3">
      <t>バン</t>
    </rPh>
    <rPh sb="6" eb="9">
      <t>ソウジュチュウ</t>
    </rPh>
    <rPh sb="18" eb="19">
      <t>ブ</t>
    </rPh>
    <phoneticPr fontId="3"/>
  </si>
  <si>
    <t>7/17号</t>
    <rPh sb="4" eb="5">
      <t>ゴウ</t>
    </rPh>
    <phoneticPr fontId="3"/>
  </si>
  <si>
    <t xml:space="preserve"> リビング・プロシード　7/17号</t>
    <rPh sb="16" eb="17">
      <t>ゴウ</t>
    </rPh>
    <phoneticPr fontId="3"/>
  </si>
  <si>
    <t>ｱﾄﾞ・バリュー　7-5</t>
    <phoneticPr fontId="3"/>
  </si>
  <si>
    <t>ハナハナ寝屋川店</t>
    <rPh sb="4" eb="8">
      <t>ネヤガワテン</t>
    </rPh>
    <phoneticPr fontId="3"/>
  </si>
  <si>
    <t>menu　他案件と同配</t>
    <rPh sb="5" eb="6">
      <t>ホカ</t>
    </rPh>
    <rPh sb="6" eb="8">
      <t>アンケン</t>
    </rPh>
    <rPh sb="9" eb="11">
      <t>ドウハイ</t>
    </rPh>
    <phoneticPr fontId="3"/>
  </si>
  <si>
    <t>㈱ケイピーエス　大阪支社　 　2026年 8月度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</si>
  <si>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ｱﾄﾞ・バリュー　8-2</t>
    <phoneticPr fontId="3"/>
  </si>
  <si>
    <t>ｱﾄﾞ・バリュー　8-3</t>
    <phoneticPr fontId="3"/>
  </si>
  <si>
    <t>ｱﾄﾞ・バリュー　8-4</t>
    <phoneticPr fontId="3"/>
  </si>
  <si>
    <t>ｱﾄﾞ・バリュー　8-5</t>
    <phoneticPr fontId="3"/>
  </si>
  <si>
    <t>8月度</t>
    <rPh sb="1" eb="3">
      <t>ガツド</t>
    </rPh>
    <phoneticPr fontId="3"/>
  </si>
  <si>
    <t xml:space="preserve"> 南版チラシ総受注　　90,301部</t>
    <rPh sb="1" eb="3">
      <t>ミナミバン</t>
    </rPh>
    <rPh sb="6" eb="9">
      <t>ソウジュチュウ</t>
    </rPh>
    <rPh sb="17" eb="18">
      <t>ブ</t>
    </rPh>
    <phoneticPr fontId="3"/>
  </si>
  <si>
    <t>仕分け</t>
    <rPh sb="0" eb="2">
      <t>シワ</t>
    </rPh>
    <phoneticPr fontId="3"/>
  </si>
  <si>
    <t xml:space="preserve"> リビング・プロシード　8/28号</t>
    <rPh sb="16" eb="17">
      <t>ゴウ</t>
    </rPh>
    <phoneticPr fontId="3"/>
  </si>
  <si>
    <t>8/28号</t>
    <rPh sb="4" eb="5">
      <t>ゴウ</t>
    </rPh>
    <phoneticPr fontId="3"/>
  </si>
  <si>
    <t xml:space="preserve"> 北版チラシ総受注　　620000部</t>
    <rPh sb="1" eb="2">
      <t>キタ</t>
    </rPh>
    <rPh sb="2" eb="3">
      <t>バン</t>
    </rPh>
    <rPh sb="6" eb="9">
      <t>ソウジュチュウ</t>
    </rPh>
    <rPh sb="17" eb="18">
      <t>ブ</t>
    </rPh>
    <phoneticPr fontId="3"/>
  </si>
  <si>
    <t>20万＋位予測</t>
    <rPh sb="2" eb="3">
      <t>マン</t>
    </rPh>
    <rPh sb="4" eb="5">
      <t>クライ</t>
    </rPh>
    <rPh sb="5" eb="7">
      <t>ヨソク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</si>
</sst>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0.0%"/>
    <numFmt numFmtId="177" formatCode="m/d;@"/>
    <numFmt numFmtId="178" formatCode="0_);[Red]\(0\)"/>
    <numFmt numFmtId="179" formatCode="#,##0_);[Red]\(#,##0\)"/>
    <numFmt numFmtId="180" formatCode="#,##0.0;[Red]\-#,##0.0"/>
    <numFmt numFmtId="181" formatCode="0.00_);[Red]\(0.00\)"/>
    <numFmt numFmtId="182" formatCode="&quot;¥&quot;#,##0_);[Red]\(&quot;¥&quot;#,##0\)"/>
    <numFmt numFmtId="183" formatCode="#,##0_ "/>
    <numFmt numFmtId="184" formatCode="[$¥-411]#,##0;\-[$¥-411]#,##0"/>
  </numFmts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rgb="FFFFFF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/>
      <top style="dotted">
        <color auto="1"/>
      </top>
      <bottom style="double">
        <color auto="1"/>
      </bottom>
      <diagonal/>
    </border>
    <border>
      <left style="dotted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uble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/>
      <right style="dotted">
        <color auto="1"/>
      </right>
      <top style="thin">
        <color auto="1"/>
      </top>
      <bottom style="dotted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/>
      <right style="dotted">
        <color auto="1"/>
      </right>
      <top style="dotted">
        <color auto="1"/>
      </top>
      <bottom style="double">
        <color auto="1"/>
      </bottom>
      <diagonal/>
    </border>
    <border>
      <left/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dotted">
        <color auto="1"/>
      </left>
      <right style="thin">
        <color indexed="64"/>
      </right>
      <top/>
      <bottom style="double">
        <color auto="1"/>
      </bottom>
      <diagonal/>
    </border>
    <border>
      <left style="dotted">
        <color auto="1"/>
      </left>
      <right style="thin">
        <color indexed="64"/>
      </right>
      <top style="double">
        <color auto="1"/>
      </top>
      <bottom/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/>
      <right style="thin">
        <color auto="1"/>
      </right>
      <top style="dotted">
        <color indexed="64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dotted">
        <color indexed="64"/>
      </left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ash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/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tted">
        <color auto="1"/>
      </right>
      <top style="dashed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uble">
        <color auto="1"/>
      </top>
      <bottom style="dotted">
        <color indexed="64"/>
      </bottom>
      <diagonal/>
    </border>
    <border>
      <left style="dotted">
        <color auto="1"/>
      </left>
      <right/>
      <top style="double">
        <color auto="1"/>
      </top>
      <bottom style="dotted">
        <color indexed="64"/>
      </bottom>
      <diagonal/>
    </border>
    <border>
      <left/>
      <right style="thin">
        <color auto="1"/>
      </right>
      <top style="double">
        <color auto="1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/>
      <top style="medium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/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auto="1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auto="1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/>
      <top style="hair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dotted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otted">
        <color auto="1"/>
      </diagonal>
    </border>
    <border>
      <left/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dotted">
        <color auto="1"/>
      </top>
      <bottom style="double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dotted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dotted">
        <color indexed="64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21">
    <xf numFmtId="0" fontId="0" fillId="0" borderId="0" xfId="0">
      <alignment vertical="center"/>
    </xf>
    <xf numFmtId="38" fontId="0" fillId="0" borderId="0" xfId="1" applyFont="1" applyFill="1">
      <alignment vertical="center"/>
    </xf>
    <xf numFmtId="6" fontId="0" fillId="0" borderId="0" xfId="2" applyFont="1" applyFill="1" applyAlignment="1"/>
    <xf numFmtId="6" fontId="4" fillId="0" borderId="0" xfId="2" applyFont="1" applyFill="1">
      <alignment vertical="center"/>
    </xf>
    <xf numFmtId="38" fontId="0" fillId="0" borderId="13" xfId="1" applyFont="1" applyFill="1" applyBorder="1" applyAlignment="1">
      <alignment horizontal="center" vertical="center" shrinkToFit="1"/>
    </xf>
    <xf numFmtId="38" fontId="0" fillId="0" borderId="14" xfId="1" applyFont="1" applyFill="1" applyBorder="1" applyAlignment="1">
      <alignment horizontal="center" vertical="center" shrinkToFit="1"/>
    </xf>
    <xf numFmtId="38" fontId="0" fillId="0" borderId="0" xfId="1" applyFont="1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7" fontId="4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38" fontId="6" fillId="0" borderId="22" xfId="1" applyFont="1" applyFill="1" applyBorder="1">
      <alignment vertical="center"/>
    </xf>
    <xf numFmtId="38" fontId="6" fillId="0" borderId="23" xfId="1" applyFont="1" applyFill="1" applyBorder="1">
      <alignment vertical="center"/>
    </xf>
    <xf numFmtId="38" fontId="6" fillId="0" borderId="24" xfId="1" applyFont="1" applyFill="1" applyBorder="1">
      <alignment vertical="center"/>
    </xf>
    <xf numFmtId="38" fontId="6" fillId="0" borderId="25" xfId="1" applyFont="1" applyFill="1" applyBorder="1">
      <alignment vertical="center"/>
    </xf>
    <xf numFmtId="178" fontId="7" fillId="0" borderId="27" xfId="1" applyNumberFormat="1" applyFont="1" applyFill="1" applyBorder="1" applyAlignment="1">
      <alignment vertical="center" shrinkToFit="1"/>
    </xf>
    <xf numFmtId="177" fontId="4" fillId="0" borderId="30" xfId="0" applyNumberFormat="1" applyFont="1" applyBorder="1" applyAlignment="1">
      <alignment horizontal="center" vertical="center"/>
    </xf>
    <xf numFmtId="178" fontId="0" fillId="0" borderId="31" xfId="0" applyNumberFormat="1" applyBorder="1" applyAlignment="1">
      <alignment horizontal="center" vertical="center"/>
    </xf>
    <xf numFmtId="38" fontId="6" fillId="0" borderId="32" xfId="1" applyFont="1" applyFill="1" applyBorder="1">
      <alignment vertical="center"/>
    </xf>
    <xf numFmtId="38" fontId="6" fillId="0" borderId="31" xfId="1" applyFont="1" applyFill="1" applyBorder="1">
      <alignment vertical="center"/>
    </xf>
    <xf numFmtId="38" fontId="6" fillId="0" borderId="33" xfId="1" applyFont="1" applyFill="1" applyBorder="1">
      <alignment vertical="center"/>
    </xf>
    <xf numFmtId="6" fontId="6" fillId="0" borderId="34" xfId="2" applyFont="1" applyFill="1" applyBorder="1">
      <alignment vertical="center"/>
    </xf>
    <xf numFmtId="178" fontId="0" fillId="0" borderId="37" xfId="0" applyNumberFormat="1" applyBorder="1" applyAlignment="1">
      <alignment horizontal="center" vertical="center"/>
    </xf>
    <xf numFmtId="38" fontId="9" fillId="0" borderId="31" xfId="1" applyFont="1" applyFill="1" applyBorder="1">
      <alignment vertical="center"/>
    </xf>
    <xf numFmtId="38" fontId="9" fillId="0" borderId="33" xfId="1" applyFont="1" applyFill="1" applyBorder="1">
      <alignment vertical="center"/>
    </xf>
    <xf numFmtId="38" fontId="9" fillId="0" borderId="38" xfId="1" applyFont="1" applyFill="1" applyBorder="1">
      <alignment vertical="center"/>
    </xf>
    <xf numFmtId="38" fontId="7" fillId="0" borderId="30" xfId="1" applyFont="1" applyFill="1" applyBorder="1" applyAlignment="1">
      <alignment vertical="center" shrinkToFit="1"/>
    </xf>
    <xf numFmtId="177" fontId="4" fillId="0" borderId="37" xfId="0" applyNumberFormat="1" applyFont="1" applyBorder="1" applyAlignment="1">
      <alignment horizontal="center" vertical="center"/>
    </xf>
    <xf numFmtId="0" fontId="0" fillId="0" borderId="35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38" fontId="9" fillId="0" borderId="43" xfId="1" applyFont="1" applyFill="1" applyBorder="1">
      <alignment vertical="center"/>
    </xf>
    <xf numFmtId="0" fontId="0" fillId="0" borderId="45" xfId="0" applyBorder="1" applyAlignment="1">
      <alignment vertical="center" shrinkToFit="1"/>
    </xf>
    <xf numFmtId="38" fontId="9" fillId="0" borderId="46" xfId="1" applyFont="1" applyFill="1" applyBorder="1">
      <alignment vertical="center"/>
    </xf>
    <xf numFmtId="38" fontId="9" fillId="0" borderId="47" xfId="1" applyFont="1" applyFill="1" applyBorder="1">
      <alignment vertical="center"/>
    </xf>
    <xf numFmtId="0" fontId="0" fillId="0" borderId="40" xfId="0" applyBorder="1" applyAlignment="1">
      <alignment vertical="center" shrinkToFit="1"/>
    </xf>
    <xf numFmtId="38" fontId="2" fillId="0" borderId="32" xfId="1" applyFont="1" applyFill="1" applyBorder="1">
      <alignment vertical="center"/>
    </xf>
    <xf numFmtId="38" fontId="7" fillId="0" borderId="49" xfId="1" applyFont="1" applyFill="1" applyBorder="1" applyAlignment="1">
      <alignment vertical="center" shrinkToFit="1"/>
    </xf>
    <xf numFmtId="6" fontId="0" fillId="0" borderId="0" xfId="2" applyFont="1" applyFill="1">
      <alignment vertical="center"/>
    </xf>
    <xf numFmtId="0" fontId="0" fillId="0" borderId="13" xfId="0" applyBorder="1" applyAlignment="1">
      <alignment horizontal="center" vertical="center"/>
    </xf>
    <xf numFmtId="38" fontId="2" fillId="0" borderId="13" xfId="1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6" fontId="9" fillId="0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38" fontId="6" fillId="0" borderId="37" xfId="1" applyFont="1" applyFill="1" applyBorder="1">
      <alignment vertical="center"/>
    </xf>
    <xf numFmtId="38" fontId="0" fillId="0" borderId="0" xfId="1" applyFont="1" applyFill="1" applyAlignment="1">
      <alignment vertical="center" shrinkToFit="1"/>
    </xf>
    <xf numFmtId="6" fontId="8" fillId="0" borderId="35" xfId="1" applyNumberFormat="1" applyFont="1" applyFill="1" applyBorder="1" applyAlignment="1">
      <alignment vertical="center" shrinkToFit="1"/>
    </xf>
    <xf numFmtId="178" fontId="7" fillId="0" borderId="30" xfId="1" applyNumberFormat="1" applyFont="1" applyFill="1" applyBorder="1" applyAlignment="1">
      <alignment vertical="center" shrinkToFit="1"/>
    </xf>
    <xf numFmtId="176" fontId="4" fillId="0" borderId="0" xfId="3" applyNumberFormat="1" applyFont="1" applyFill="1">
      <alignment vertical="center"/>
    </xf>
    <xf numFmtId="38" fontId="4" fillId="0" borderId="0" xfId="1" applyFont="1" applyFill="1">
      <alignment vertical="center"/>
    </xf>
    <xf numFmtId="38" fontId="4" fillId="0" borderId="0" xfId="1" applyFont="1" applyFill="1" applyAlignment="1">
      <alignment horizontal="center" vertical="center" shrinkToFit="1"/>
    </xf>
    <xf numFmtId="180" fontId="4" fillId="0" borderId="0" xfId="1" applyNumberFormat="1" applyFont="1" applyFill="1">
      <alignment vertical="center"/>
    </xf>
    <xf numFmtId="180" fontId="4" fillId="0" borderId="0" xfId="1" applyNumberFormat="1" applyFont="1" applyFill="1" applyAlignment="1">
      <alignment horizontal="center" vertical="center" shrinkToFit="1"/>
    </xf>
    <xf numFmtId="38" fontId="4" fillId="0" borderId="0" xfId="1" applyFont="1" applyFill="1" applyAlignment="1">
      <alignment horizontal="center" vertical="center"/>
    </xf>
    <xf numFmtId="10" fontId="0" fillId="0" borderId="0" xfId="3" applyNumberFormat="1" applyFont="1">
      <alignment vertical="center"/>
    </xf>
    <xf numFmtId="10" fontId="0" fillId="0" borderId="0" xfId="3" applyNumberFormat="1" applyFont="1" applyAlignment="1">
      <alignment horizontal="center" vertical="center" shrinkToFit="1"/>
    </xf>
    <xf numFmtId="10" fontId="0" fillId="0" borderId="0" xfId="3" applyNumberFormat="1" applyFont="1" applyFill="1">
      <alignment vertical="center"/>
    </xf>
    <xf numFmtId="38" fontId="0" fillId="0" borderId="35" xfId="1" applyFont="1" applyFill="1" applyBorder="1">
      <alignment vertical="center"/>
    </xf>
    <xf numFmtId="176" fontId="4" fillId="0" borderId="0" xfId="3" applyNumberFormat="1" applyFont="1" applyFill="1" applyBorder="1" applyAlignment="1">
      <alignment vertical="center"/>
    </xf>
    <xf numFmtId="38" fontId="4" fillId="0" borderId="0" xfId="1" applyFont="1" applyFill="1" applyBorder="1" applyAlignment="1">
      <alignment vertical="center"/>
    </xf>
    <xf numFmtId="38" fontId="9" fillId="0" borderId="55" xfId="1" applyFont="1" applyBorder="1" applyAlignment="1">
      <alignment horizontal="right" vertical="center" shrinkToFit="1"/>
    </xf>
    <xf numFmtId="38" fontId="9" fillId="0" borderId="56" xfId="1" applyFont="1" applyBorder="1" applyAlignment="1">
      <alignment horizontal="right" vertical="center" shrinkToFit="1"/>
    </xf>
    <xf numFmtId="38" fontId="2" fillId="0" borderId="55" xfId="1" applyFont="1" applyFill="1" applyBorder="1" applyAlignment="1">
      <alignment horizontal="right" vertical="center"/>
    </xf>
    <xf numFmtId="38" fontId="9" fillId="0" borderId="28" xfId="1" applyFont="1" applyBorder="1" applyAlignment="1">
      <alignment horizontal="right" vertical="center" shrinkToFit="1"/>
    </xf>
    <xf numFmtId="38" fontId="9" fillId="0" borderId="1" xfId="1" applyFont="1" applyBorder="1" applyAlignment="1">
      <alignment horizontal="right" vertical="center" shrinkToFit="1"/>
    </xf>
    <xf numFmtId="38" fontId="2" fillId="0" borderId="28" xfId="1" applyFont="1" applyFill="1" applyBorder="1" applyAlignment="1">
      <alignment horizontal="right" vertical="center"/>
    </xf>
    <xf numFmtId="38" fontId="4" fillId="0" borderId="30" xfId="1" applyFont="1" applyFill="1" applyBorder="1" applyAlignment="1">
      <alignment vertical="center" wrapText="1" shrinkToFit="1"/>
    </xf>
    <xf numFmtId="38" fontId="4" fillId="0" borderId="35" xfId="1" applyFont="1" applyFill="1" applyBorder="1" applyAlignment="1">
      <alignment vertical="center"/>
    </xf>
    <xf numFmtId="38" fontId="4" fillId="0" borderId="30" xfId="1" applyFont="1" applyFill="1" applyBorder="1" applyAlignment="1">
      <alignment vertical="center" shrinkToFit="1"/>
    </xf>
    <xf numFmtId="38" fontId="4" fillId="0" borderId="35" xfId="1" applyFont="1" applyFill="1" applyBorder="1">
      <alignment vertical="center"/>
    </xf>
    <xf numFmtId="38" fontId="4" fillId="0" borderId="35" xfId="1" applyFont="1" applyFill="1" applyBorder="1" applyAlignment="1">
      <alignment vertical="center" shrinkToFit="1"/>
    </xf>
    <xf numFmtId="38" fontId="4" fillId="0" borderId="35" xfId="1" applyFont="1" applyBorder="1" applyAlignment="1">
      <alignment vertical="center" shrinkToFit="1"/>
    </xf>
    <xf numFmtId="38" fontId="4" fillId="0" borderId="9" xfId="1" applyFont="1" applyBorder="1" applyAlignment="1">
      <alignment vertical="center" shrinkToFit="1"/>
    </xf>
    <xf numFmtId="38" fontId="4" fillId="0" borderId="40" xfId="1" applyFont="1" applyFill="1" applyBorder="1" applyAlignment="1">
      <alignment vertical="center" shrinkToFit="1"/>
    </xf>
    <xf numFmtId="38" fontId="4" fillId="0" borderId="28" xfId="1" applyFont="1" applyFill="1" applyBorder="1">
      <alignment vertical="center"/>
    </xf>
    <xf numFmtId="38" fontId="4" fillId="0" borderId="49" xfId="1" applyFont="1" applyFill="1" applyBorder="1" applyAlignment="1">
      <alignment vertical="center" shrinkToFit="1"/>
    </xf>
    <xf numFmtId="38" fontId="4" fillId="0" borderId="50" xfId="1" applyFont="1" applyFill="1" applyBorder="1">
      <alignment vertical="center"/>
    </xf>
    <xf numFmtId="38" fontId="4" fillId="0" borderId="51" xfId="1" applyFont="1" applyFill="1" applyBorder="1" applyAlignment="1">
      <alignment vertical="center" shrinkToFit="1"/>
    </xf>
    <xf numFmtId="38" fontId="4" fillId="0" borderId="52" xfId="1" applyFont="1" applyFill="1" applyBorder="1">
      <alignment vertical="center"/>
    </xf>
    <xf numFmtId="38" fontId="4" fillId="0" borderId="17" xfId="1" applyFont="1" applyFill="1" applyBorder="1" applyAlignment="1">
      <alignment vertical="center" shrinkToFit="1"/>
    </xf>
    <xf numFmtId="38" fontId="4" fillId="0" borderId="19" xfId="1" applyFont="1" applyFill="1" applyBorder="1">
      <alignment vertical="center"/>
    </xf>
    <xf numFmtId="38" fontId="2" fillId="0" borderId="46" xfId="1" applyFont="1" applyFill="1" applyBorder="1">
      <alignment vertical="center"/>
    </xf>
    <xf numFmtId="38" fontId="9" fillId="0" borderId="37" xfId="1" applyFont="1" applyBorder="1" applyAlignment="1">
      <alignment horizontal="right" vertical="center"/>
    </xf>
    <xf numFmtId="38" fontId="9" fillId="0" borderId="31" xfId="1" applyFont="1" applyBorder="1">
      <alignment vertical="center"/>
    </xf>
    <xf numFmtId="38" fontId="9" fillId="0" borderId="37" xfId="1" applyFont="1" applyBorder="1">
      <alignment vertical="center"/>
    </xf>
    <xf numFmtId="38" fontId="6" fillId="0" borderId="43" xfId="1" applyFont="1" applyBorder="1">
      <alignment vertical="center"/>
    </xf>
    <xf numFmtId="38" fontId="6" fillId="0" borderId="46" xfId="1" applyFont="1" applyBorder="1">
      <alignment vertical="center"/>
    </xf>
    <xf numFmtId="0" fontId="0" fillId="0" borderId="4" xfId="0" applyBorder="1" applyAlignment="1">
      <alignment horizontal="center" vertical="center" shrinkToFit="1"/>
    </xf>
    <xf numFmtId="38" fontId="2" fillId="0" borderId="4" xfId="1" applyFont="1" applyFill="1" applyBorder="1">
      <alignment vertical="center"/>
    </xf>
    <xf numFmtId="38" fontId="7" fillId="0" borderId="57" xfId="1" applyFont="1" applyFill="1" applyBorder="1" applyAlignment="1">
      <alignment vertical="center" shrinkToFit="1"/>
    </xf>
    <xf numFmtId="0" fontId="0" fillId="0" borderId="43" xfId="0" applyBorder="1" applyAlignment="1">
      <alignment horizontal="center" vertical="center"/>
    </xf>
    <xf numFmtId="38" fontId="2" fillId="0" borderId="43" xfId="1" applyFont="1" applyFill="1" applyBorder="1">
      <alignment vertical="center"/>
    </xf>
    <xf numFmtId="38" fontId="7" fillId="0" borderId="44" xfId="1" applyFont="1" applyFill="1" applyBorder="1" applyAlignment="1">
      <alignment vertical="center" shrinkToFit="1"/>
    </xf>
    <xf numFmtId="38" fontId="9" fillId="0" borderId="44" xfId="1" applyFont="1" applyFill="1" applyBorder="1" applyAlignment="1">
      <alignment vertical="center" shrinkToFit="1"/>
    </xf>
    <xf numFmtId="38" fontId="7" fillId="0" borderId="58" xfId="1" applyFont="1" applyFill="1" applyBorder="1" applyAlignment="1">
      <alignment vertical="center" shrinkToFit="1"/>
    </xf>
    <xf numFmtId="6" fontId="6" fillId="0" borderId="43" xfId="2" applyFont="1" applyFill="1" applyBorder="1">
      <alignment vertical="center"/>
    </xf>
    <xf numFmtId="6" fontId="6" fillId="0" borderId="13" xfId="2" applyFont="1" applyFill="1" applyBorder="1">
      <alignment vertical="center"/>
    </xf>
    <xf numFmtId="38" fontId="2" fillId="0" borderId="0" xfId="1" applyFont="1" applyFill="1" applyBorder="1" applyAlignment="1">
      <alignment horizontal="right" vertical="center"/>
    </xf>
    <xf numFmtId="38" fontId="4" fillId="0" borderId="0" xfId="1" applyFont="1" applyFill="1" applyBorder="1">
      <alignment vertical="center"/>
    </xf>
    <xf numFmtId="181" fontId="2" fillId="0" borderId="0" xfId="0" applyNumberFormat="1" applyFont="1" applyAlignment="1">
      <alignment horizontal="center" vertical="center"/>
    </xf>
    <xf numFmtId="38" fontId="9" fillId="0" borderId="4" xfId="1" applyFont="1" applyFill="1" applyBorder="1">
      <alignment vertical="center"/>
    </xf>
    <xf numFmtId="38" fontId="0" fillId="0" borderId="22" xfId="1" applyFont="1" applyFill="1" applyBorder="1">
      <alignment vertical="center"/>
    </xf>
    <xf numFmtId="181" fontId="0" fillId="0" borderId="0" xfId="1" applyNumberFormat="1" applyFont="1" applyFill="1" applyBorder="1" applyAlignment="1">
      <alignment horizontal="center" vertical="center"/>
    </xf>
    <xf numFmtId="181" fontId="0" fillId="0" borderId="0" xfId="1" applyNumberFormat="1" applyFont="1" applyFill="1" applyBorder="1" applyAlignment="1">
      <alignment horizontal="center" vertical="center" wrapText="1" shrinkToFit="1"/>
    </xf>
    <xf numFmtId="181" fontId="6" fillId="0" borderId="0" xfId="1" applyNumberFormat="1" applyFont="1" applyFill="1" applyBorder="1">
      <alignment vertical="center"/>
    </xf>
    <xf numFmtId="181" fontId="9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>
      <alignment vertical="center"/>
    </xf>
    <xf numFmtId="181" fontId="0" fillId="0" borderId="0" xfId="1" applyNumberFormat="1" applyFont="1" applyFill="1" applyBorder="1">
      <alignment vertical="center"/>
    </xf>
    <xf numFmtId="38" fontId="2" fillId="0" borderId="60" xfId="1" applyFont="1" applyFill="1" applyBorder="1">
      <alignment vertical="center"/>
    </xf>
    <xf numFmtId="38" fontId="9" fillId="0" borderId="35" xfId="1" applyFont="1" applyFill="1" applyBorder="1" applyAlignment="1">
      <alignment vertical="center" shrinkToFit="1"/>
    </xf>
    <xf numFmtId="38" fontId="9" fillId="0" borderId="9" xfId="1" applyFont="1" applyBorder="1" applyAlignment="1">
      <alignment vertical="center" shrinkToFit="1"/>
    </xf>
    <xf numFmtId="176" fontId="2" fillId="0" borderId="0" xfId="3" applyNumberFormat="1" applyFont="1" applyFill="1" applyBorder="1" applyAlignment="1">
      <alignment horizontal="right" vertical="center"/>
    </xf>
    <xf numFmtId="176" fontId="4" fillId="0" borderId="0" xfId="3" applyNumberFormat="1" applyFont="1" applyFill="1" applyBorder="1">
      <alignment vertical="center"/>
    </xf>
    <xf numFmtId="38" fontId="7" fillId="0" borderId="7" xfId="1" applyFont="1" applyFill="1" applyBorder="1" applyAlignment="1">
      <alignment vertical="center" shrinkToFit="1"/>
    </xf>
    <xf numFmtId="38" fontId="7" fillId="0" borderId="62" xfId="1" applyFont="1" applyFill="1" applyBorder="1" applyAlignment="1">
      <alignment vertical="center" shrinkToFit="1"/>
    </xf>
    <xf numFmtId="6" fontId="6" fillId="0" borderId="44" xfId="2" applyFont="1" applyFill="1" applyBorder="1">
      <alignment vertical="center"/>
    </xf>
    <xf numFmtId="38" fontId="9" fillId="0" borderId="9" xfId="1" applyFont="1" applyFill="1" applyBorder="1">
      <alignment vertical="center"/>
    </xf>
    <xf numFmtId="38" fontId="9" fillId="0" borderId="27" xfId="1" applyFont="1" applyBorder="1" applyAlignment="1">
      <alignment vertical="center" shrinkToFit="1"/>
    </xf>
    <xf numFmtId="38" fontId="9" fillId="0" borderId="39" xfId="1" applyFont="1" applyBorder="1" applyAlignment="1">
      <alignment horizontal="right" vertical="center"/>
    </xf>
    <xf numFmtId="38" fontId="6" fillId="0" borderId="59" xfId="1" applyFont="1" applyFill="1" applyBorder="1">
      <alignment vertical="center"/>
    </xf>
    <xf numFmtId="6" fontId="6" fillId="0" borderId="60" xfId="2" applyFont="1" applyFill="1" applyBorder="1">
      <alignment vertical="center"/>
    </xf>
    <xf numFmtId="38" fontId="9" fillId="0" borderId="28" xfId="1" applyFont="1" applyFill="1" applyBorder="1" applyAlignment="1">
      <alignment vertical="center" shrinkToFit="1"/>
    </xf>
    <xf numFmtId="38" fontId="9" fillId="0" borderId="4" xfId="1" applyFont="1" applyBorder="1">
      <alignment vertical="center"/>
    </xf>
    <xf numFmtId="179" fontId="9" fillId="0" borderId="4" xfId="0" applyNumberFormat="1" applyFont="1" applyBorder="1">
      <alignment vertical="center"/>
    </xf>
    <xf numFmtId="38" fontId="6" fillId="0" borderId="5" xfId="1" applyFont="1" applyFill="1" applyBorder="1">
      <alignment vertical="center"/>
    </xf>
    <xf numFmtId="6" fontId="6" fillId="0" borderId="57" xfId="2" applyFont="1" applyFill="1" applyBorder="1">
      <alignment vertical="center"/>
    </xf>
    <xf numFmtId="38" fontId="9" fillId="0" borderId="10" xfId="1" applyFont="1" applyFill="1" applyBorder="1" applyAlignment="1">
      <alignment vertical="center" shrinkToFit="1"/>
    </xf>
    <xf numFmtId="38" fontId="9" fillId="0" borderId="41" xfId="1" applyFont="1" applyBorder="1">
      <alignment vertical="center"/>
    </xf>
    <xf numFmtId="38" fontId="9" fillId="0" borderId="28" xfId="1" applyFont="1" applyBorder="1" applyAlignment="1">
      <alignment vertical="center" shrinkToFit="1"/>
    </xf>
    <xf numFmtId="38" fontId="9" fillId="0" borderId="43" xfId="1" applyFont="1" applyBorder="1" applyAlignment="1">
      <alignment horizontal="right" vertical="center"/>
    </xf>
    <xf numFmtId="38" fontId="9" fillId="0" borderId="43" xfId="1" applyFont="1" applyBorder="1">
      <alignment vertical="center"/>
    </xf>
    <xf numFmtId="179" fontId="9" fillId="0" borderId="43" xfId="0" applyNumberFormat="1" applyFont="1" applyBorder="1">
      <alignment vertical="center"/>
    </xf>
    <xf numFmtId="38" fontId="6" fillId="0" borderId="63" xfId="1" applyFont="1" applyFill="1" applyBorder="1">
      <alignment vertical="center"/>
    </xf>
    <xf numFmtId="38" fontId="9" fillId="0" borderId="64" xfId="1" applyFont="1" applyFill="1" applyBorder="1" applyAlignment="1">
      <alignment vertical="center" shrinkToFit="1"/>
    </xf>
    <xf numFmtId="38" fontId="2" fillId="0" borderId="29" xfId="1" applyFont="1" applyFill="1" applyBorder="1" applyAlignment="1">
      <alignment horizontal="right" vertical="center"/>
    </xf>
    <xf numFmtId="38" fontId="9" fillId="0" borderId="3" xfId="1" applyFont="1" applyFill="1" applyBorder="1">
      <alignment vertical="center"/>
    </xf>
    <xf numFmtId="38" fontId="9" fillId="0" borderId="22" xfId="1" applyFont="1" applyFill="1" applyBorder="1">
      <alignment vertical="center"/>
    </xf>
    <xf numFmtId="6" fontId="6" fillId="0" borderId="68" xfId="2" applyFont="1" applyFill="1" applyBorder="1">
      <alignment vertical="center"/>
    </xf>
    <xf numFmtId="6" fontId="6" fillId="0" borderId="67" xfId="2" applyFont="1" applyFill="1" applyBorder="1">
      <alignment vertical="center"/>
    </xf>
    <xf numFmtId="38" fontId="4" fillId="0" borderId="10" xfId="1" applyFont="1" applyFill="1" applyBorder="1">
      <alignment vertical="center"/>
    </xf>
    <xf numFmtId="38" fontId="6" fillId="0" borderId="46" xfId="1" applyFont="1" applyFill="1" applyBorder="1">
      <alignment vertical="center"/>
    </xf>
    <xf numFmtId="38" fontId="6" fillId="0" borderId="4" xfId="1" applyFont="1" applyFill="1" applyBorder="1">
      <alignment vertical="center"/>
    </xf>
    <xf numFmtId="6" fontId="6" fillId="0" borderId="69" xfId="2" applyFont="1" applyFill="1" applyBorder="1">
      <alignment vertical="center"/>
    </xf>
    <xf numFmtId="38" fontId="6" fillId="0" borderId="43" xfId="1" applyFont="1" applyFill="1" applyBorder="1">
      <alignment vertical="center"/>
    </xf>
    <xf numFmtId="38" fontId="10" fillId="0" borderId="0" xfId="1" applyFont="1" applyFill="1">
      <alignment vertical="center"/>
    </xf>
    <xf numFmtId="176" fontId="10" fillId="0" borderId="0" xfId="3" applyNumberFormat="1" applyFont="1" applyFill="1">
      <alignment vertical="center"/>
    </xf>
    <xf numFmtId="38" fontId="9" fillId="0" borderId="0" xfId="1" applyFont="1" applyFill="1" applyBorder="1" applyAlignment="1">
      <alignment horizontal="right" vertical="center"/>
    </xf>
    <xf numFmtId="176" fontId="9" fillId="0" borderId="0" xfId="3" applyNumberFormat="1" applyFont="1" applyFill="1" applyBorder="1" applyAlignment="1">
      <alignment horizontal="right" vertical="center"/>
    </xf>
    <xf numFmtId="38" fontId="10" fillId="0" borderId="0" xfId="1" applyFont="1" applyFill="1" applyBorder="1">
      <alignment vertical="center"/>
    </xf>
    <xf numFmtId="176" fontId="10" fillId="0" borderId="0" xfId="3" applyNumberFormat="1" applyFont="1" applyFill="1" applyBorder="1">
      <alignment vertical="center"/>
    </xf>
    <xf numFmtId="38" fontId="4" fillId="0" borderId="8" xfId="1" applyFont="1" applyFill="1" applyBorder="1" applyAlignment="1">
      <alignment vertical="center" shrinkToFit="1"/>
    </xf>
    <xf numFmtId="38" fontId="0" fillId="0" borderId="72" xfId="1" applyFont="1" applyFill="1" applyBorder="1" applyAlignment="1">
      <alignment vertical="center" shrinkToFit="1"/>
    </xf>
    <xf numFmtId="38" fontId="4" fillId="0" borderId="4" xfId="1" applyFont="1" applyFill="1" applyBorder="1" applyAlignment="1">
      <alignment vertical="center" shrinkToFit="1"/>
    </xf>
    <xf numFmtId="38" fontId="4" fillId="0" borderId="57" xfId="1" applyFont="1" applyFill="1" applyBorder="1">
      <alignment vertical="center"/>
    </xf>
    <xf numFmtId="38" fontId="4" fillId="0" borderId="43" xfId="1" applyFont="1" applyFill="1" applyBorder="1" applyAlignment="1">
      <alignment vertical="center" shrinkToFit="1"/>
    </xf>
    <xf numFmtId="38" fontId="4" fillId="0" borderId="44" xfId="1" applyFont="1" applyFill="1" applyBorder="1">
      <alignment vertical="center"/>
    </xf>
    <xf numFmtId="38" fontId="4" fillId="0" borderId="22" xfId="1" applyFont="1" applyFill="1" applyBorder="1" applyAlignment="1">
      <alignment vertical="center" shrinkToFit="1"/>
    </xf>
    <xf numFmtId="38" fontId="4" fillId="0" borderId="67" xfId="1" applyFont="1" applyFill="1" applyBorder="1">
      <alignment vertical="center"/>
    </xf>
    <xf numFmtId="38" fontId="9" fillId="0" borderId="32" xfId="1" applyFont="1" applyFill="1" applyBorder="1">
      <alignment vertical="center"/>
    </xf>
    <xf numFmtId="6" fontId="6" fillId="0" borderId="73" xfId="2" applyFont="1" applyFill="1" applyBorder="1">
      <alignment vertical="center"/>
    </xf>
    <xf numFmtId="38" fontId="7" fillId="0" borderId="35" xfId="1" applyFont="1" applyFill="1" applyBorder="1" applyAlignment="1">
      <alignment vertical="center" shrinkToFit="1"/>
    </xf>
    <xf numFmtId="38" fontId="4" fillId="0" borderId="65" xfId="1" applyFont="1" applyFill="1" applyBorder="1" applyAlignment="1">
      <alignment vertical="center" shrinkToFit="1"/>
    </xf>
    <xf numFmtId="38" fontId="4" fillId="0" borderId="66" xfId="1" applyFont="1" applyFill="1" applyBorder="1" applyAlignment="1">
      <alignment vertical="center" shrinkToFit="1"/>
    </xf>
    <xf numFmtId="38" fontId="4" fillId="0" borderId="75" xfId="1" applyFont="1" applyFill="1" applyBorder="1" applyAlignment="1">
      <alignment vertical="center" shrinkToFit="1"/>
    </xf>
    <xf numFmtId="38" fontId="6" fillId="0" borderId="76" xfId="1" applyFont="1" applyFill="1" applyBorder="1">
      <alignment vertical="center"/>
    </xf>
    <xf numFmtId="38" fontId="6" fillId="0" borderId="70" xfId="1" applyFont="1" applyFill="1" applyBorder="1">
      <alignment vertical="center"/>
    </xf>
    <xf numFmtId="38" fontId="6" fillId="0" borderId="77" xfId="1" applyFont="1" applyFill="1" applyBorder="1">
      <alignment vertical="center"/>
    </xf>
    <xf numFmtId="38" fontId="6" fillId="0" borderId="79" xfId="1" applyFont="1" applyFill="1" applyBorder="1">
      <alignment vertical="center"/>
    </xf>
    <xf numFmtId="38" fontId="9" fillId="0" borderId="37" xfId="1" applyFont="1" applyFill="1" applyBorder="1">
      <alignment vertical="center"/>
    </xf>
    <xf numFmtId="38" fontId="6" fillId="0" borderId="75" xfId="1" applyFont="1" applyFill="1" applyBorder="1">
      <alignment vertical="center"/>
    </xf>
    <xf numFmtId="38" fontId="9" fillId="0" borderId="80" xfId="1" applyFont="1" applyFill="1" applyBorder="1">
      <alignment vertical="center"/>
    </xf>
    <xf numFmtId="38" fontId="9" fillId="0" borderId="41" xfId="1" applyFont="1" applyFill="1" applyBorder="1">
      <alignment vertical="center"/>
    </xf>
    <xf numFmtId="38" fontId="6" fillId="0" borderId="61" xfId="1" applyFont="1" applyFill="1" applyBorder="1">
      <alignment vertical="center"/>
    </xf>
    <xf numFmtId="38" fontId="9" fillId="0" borderId="66" xfId="1" applyFont="1" applyFill="1" applyBorder="1">
      <alignment vertical="center"/>
    </xf>
    <xf numFmtId="38" fontId="6" fillId="0" borderId="83" xfId="1" applyFont="1" applyFill="1" applyBorder="1">
      <alignment vertical="center"/>
    </xf>
    <xf numFmtId="38" fontId="6" fillId="0" borderId="38" xfId="1" applyFont="1" applyFill="1" applyBorder="1">
      <alignment vertical="center"/>
    </xf>
    <xf numFmtId="38" fontId="6" fillId="0" borderId="57" xfId="1" applyFont="1" applyFill="1" applyBorder="1">
      <alignment vertical="center"/>
    </xf>
    <xf numFmtId="38" fontId="6" fillId="0" borderId="44" xfId="1" applyFont="1" applyFill="1" applyBorder="1">
      <alignment vertical="center"/>
    </xf>
    <xf numFmtId="38" fontId="6" fillId="0" borderId="67" xfId="1" applyFont="1" applyFill="1" applyBorder="1">
      <alignment vertical="center"/>
    </xf>
    <xf numFmtId="38" fontId="9" fillId="0" borderId="84" xfId="1" applyFont="1" applyFill="1" applyBorder="1">
      <alignment vertical="center"/>
    </xf>
    <xf numFmtId="38" fontId="9" fillId="0" borderId="60" xfId="1" applyFont="1" applyFill="1" applyBorder="1">
      <alignment vertical="center"/>
    </xf>
    <xf numFmtId="179" fontId="9" fillId="0" borderId="38" xfId="0" applyNumberFormat="1" applyFont="1" applyBorder="1">
      <alignment vertical="center"/>
    </xf>
    <xf numFmtId="38" fontId="9" fillId="0" borderId="44" xfId="1" applyFont="1" applyFill="1" applyBorder="1">
      <alignment vertical="center"/>
    </xf>
    <xf numFmtId="38" fontId="0" fillId="0" borderId="71" xfId="1" applyFont="1" applyFill="1" applyBorder="1">
      <alignment vertical="center"/>
    </xf>
    <xf numFmtId="38" fontId="7" fillId="0" borderId="85" xfId="1" applyFont="1" applyFill="1" applyBorder="1" applyAlignment="1">
      <alignment vertical="center" shrinkToFit="1"/>
    </xf>
    <xf numFmtId="38" fontId="0" fillId="0" borderId="78" xfId="1" applyFont="1" applyFill="1" applyBorder="1" applyAlignment="1">
      <alignment horizontal="center" vertical="center" shrinkToFit="1"/>
    </xf>
    <xf numFmtId="38" fontId="9" fillId="0" borderId="65" xfId="1" applyFont="1" applyFill="1" applyBorder="1">
      <alignment vertical="center"/>
    </xf>
    <xf numFmtId="38" fontId="6" fillId="0" borderId="41" xfId="1" applyFont="1" applyBorder="1">
      <alignment vertical="center"/>
    </xf>
    <xf numFmtId="38" fontId="2" fillId="0" borderId="65" xfId="1" applyFont="1" applyFill="1" applyBorder="1">
      <alignment vertical="center"/>
    </xf>
    <xf numFmtId="38" fontId="2" fillId="0" borderId="66" xfId="1" applyFont="1" applyFill="1" applyBorder="1">
      <alignment vertical="center"/>
    </xf>
    <xf numFmtId="38" fontId="2" fillId="0" borderId="78" xfId="1" applyFont="1" applyFill="1" applyBorder="1">
      <alignment vertical="center"/>
    </xf>
    <xf numFmtId="38" fontId="2" fillId="0" borderId="41" xfId="1" applyFont="1" applyFill="1" applyBorder="1">
      <alignment vertical="center"/>
    </xf>
    <xf numFmtId="178" fontId="7" fillId="0" borderId="53" xfId="1" applyNumberFormat="1" applyFont="1" applyFill="1" applyBorder="1" applyAlignment="1">
      <alignment vertical="center" shrinkToFit="1"/>
    </xf>
    <xf numFmtId="6" fontId="8" fillId="0" borderId="30" xfId="1" applyNumberFormat="1" applyFont="1" applyFill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38" fontId="2" fillId="0" borderId="59" xfId="1" applyFont="1" applyFill="1" applyBorder="1">
      <alignment vertical="center"/>
    </xf>
    <xf numFmtId="38" fontId="9" fillId="0" borderId="39" xfId="1" applyFont="1" applyFill="1" applyBorder="1">
      <alignment vertical="center"/>
    </xf>
    <xf numFmtId="6" fontId="6" fillId="0" borderId="81" xfId="2" applyFont="1" applyFill="1" applyBorder="1">
      <alignment vertical="center"/>
    </xf>
    <xf numFmtId="38" fontId="7" fillId="0" borderId="74" xfId="1" applyFont="1" applyFill="1" applyBorder="1" applyAlignment="1">
      <alignment vertical="center" shrinkToFit="1"/>
    </xf>
    <xf numFmtId="38" fontId="9" fillId="0" borderId="29" xfId="1" applyFont="1" applyFill="1" applyBorder="1" applyAlignment="1">
      <alignment vertical="center" shrinkToFit="1"/>
    </xf>
    <xf numFmtId="177" fontId="10" fillId="0" borderId="20" xfId="0" applyNumberFormat="1" applyFont="1" applyBorder="1" applyAlignment="1">
      <alignment horizontal="center" vertical="center"/>
    </xf>
    <xf numFmtId="178" fontId="10" fillId="0" borderId="48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8" fontId="10" fillId="0" borderId="38" xfId="0" applyNumberFormat="1" applyFont="1" applyBorder="1" applyAlignment="1">
      <alignment horizontal="center" vertical="center"/>
    </xf>
    <xf numFmtId="38" fontId="9" fillId="0" borderId="55" xfId="1" applyFont="1" applyFill="1" applyBorder="1" applyAlignment="1">
      <alignment horizontal="right" vertical="center"/>
    </xf>
    <xf numFmtId="38" fontId="9" fillId="0" borderId="28" xfId="1" applyFont="1" applyFill="1" applyBorder="1" applyAlignment="1">
      <alignment horizontal="right" vertical="center"/>
    </xf>
    <xf numFmtId="38" fontId="10" fillId="0" borderId="35" xfId="1" applyFont="1" applyFill="1" applyBorder="1">
      <alignment vertical="center"/>
    </xf>
    <xf numFmtId="38" fontId="10" fillId="0" borderId="28" xfId="1" applyFont="1" applyFill="1" applyBorder="1">
      <alignment vertical="center"/>
    </xf>
    <xf numFmtId="38" fontId="10" fillId="0" borderId="10" xfId="1" applyFont="1" applyBorder="1" applyAlignment="1">
      <alignment vertical="center" shrinkToFit="1"/>
    </xf>
    <xf numFmtId="38" fontId="10" fillId="0" borderId="64" xfId="1" applyFont="1" applyBorder="1" applyAlignment="1">
      <alignment vertical="center" shrinkToFit="1"/>
    </xf>
    <xf numFmtId="38" fontId="10" fillId="0" borderId="28" xfId="1" applyFont="1" applyBorder="1" applyAlignment="1">
      <alignment vertical="center" shrinkToFit="1"/>
    </xf>
    <xf numFmtId="38" fontId="10" fillId="0" borderId="9" xfId="1" applyFont="1" applyFill="1" applyBorder="1" applyAlignment="1">
      <alignment vertical="center"/>
    </xf>
    <xf numFmtId="38" fontId="10" fillId="0" borderId="27" xfId="1" applyFont="1" applyFill="1" applyBorder="1" applyAlignment="1">
      <alignment vertical="center"/>
    </xf>
    <xf numFmtId="38" fontId="10" fillId="0" borderId="36" xfId="1" applyFont="1" applyFill="1" applyBorder="1">
      <alignment vertical="center"/>
    </xf>
    <xf numFmtId="6" fontId="2" fillId="0" borderId="44" xfId="2" applyFont="1" applyFill="1" applyBorder="1">
      <alignment vertical="center"/>
    </xf>
    <xf numFmtId="38" fontId="2" fillId="0" borderId="87" xfId="1" applyFont="1" applyFill="1" applyBorder="1" applyAlignment="1">
      <alignment vertical="center" shrinkToFit="1"/>
    </xf>
    <xf numFmtId="38" fontId="13" fillId="0" borderId="87" xfId="1" applyFont="1" applyFill="1" applyBorder="1" applyAlignment="1">
      <alignment vertical="center" shrinkToFit="1"/>
    </xf>
    <xf numFmtId="6" fontId="2" fillId="0" borderId="58" xfId="2" applyFont="1" applyFill="1" applyBorder="1">
      <alignment vertical="center"/>
    </xf>
    <xf numFmtId="38" fontId="13" fillId="0" borderId="88" xfId="1" applyFont="1" applyFill="1" applyBorder="1" applyAlignment="1">
      <alignment vertical="center" shrinkToFit="1"/>
    </xf>
    <xf numFmtId="38" fontId="10" fillId="0" borderId="9" xfId="1" applyFont="1" applyFill="1" applyBorder="1" applyAlignment="1">
      <alignment horizontal="center" vertical="center" shrinkToFit="1"/>
    </xf>
    <xf numFmtId="38" fontId="10" fillId="0" borderId="18" xfId="1" applyFont="1" applyFill="1" applyBorder="1" applyAlignment="1">
      <alignment horizontal="center" vertical="center" shrinkToFit="1"/>
    </xf>
    <xf numFmtId="38" fontId="6" fillId="0" borderId="65" xfId="1" applyFont="1" applyBorder="1">
      <alignment vertical="center"/>
    </xf>
    <xf numFmtId="38" fontId="6" fillId="0" borderId="4" xfId="1" applyFont="1" applyBorder="1">
      <alignment vertical="center"/>
    </xf>
    <xf numFmtId="38" fontId="9" fillId="0" borderId="59" xfId="1" applyFont="1" applyFill="1" applyBorder="1">
      <alignment vertical="center"/>
    </xf>
    <xf numFmtId="38" fontId="9" fillId="0" borderId="40" xfId="1" applyFont="1" applyFill="1" applyBorder="1">
      <alignment vertical="center"/>
    </xf>
    <xf numFmtId="0" fontId="4" fillId="0" borderId="7" xfId="0" applyFont="1" applyBorder="1" applyAlignment="1">
      <alignment horizontal="center" vertical="center" shrinkToFit="1"/>
    </xf>
    <xf numFmtId="6" fontId="2" fillId="0" borderId="57" xfId="2" applyFont="1" applyFill="1" applyBorder="1">
      <alignment vertical="center"/>
    </xf>
    <xf numFmtId="38" fontId="13" fillId="0" borderId="86" xfId="1" applyFont="1" applyFill="1" applyBorder="1" applyAlignment="1">
      <alignment vertical="center" shrinkToFit="1"/>
    </xf>
    <xf numFmtId="0" fontId="4" fillId="0" borderId="69" xfId="0" applyFont="1" applyBorder="1" applyAlignment="1">
      <alignment horizontal="center" vertical="center"/>
    </xf>
    <xf numFmtId="38" fontId="6" fillId="0" borderId="54" xfId="1" applyFont="1" applyFill="1" applyBorder="1">
      <alignment vertical="center"/>
    </xf>
    <xf numFmtId="38" fontId="6" fillId="0" borderId="21" xfId="1" applyFont="1" applyFill="1" applyBorder="1">
      <alignment vertical="center"/>
    </xf>
    <xf numFmtId="38" fontId="6" fillId="0" borderId="47" xfId="1" applyFont="1" applyFill="1" applyBorder="1">
      <alignment vertical="center"/>
    </xf>
    <xf numFmtId="6" fontId="6" fillId="0" borderId="71" xfId="2" applyFont="1" applyFill="1" applyBorder="1">
      <alignment vertical="center"/>
    </xf>
    <xf numFmtId="38" fontId="7" fillId="0" borderId="29" xfId="1" applyFont="1" applyFill="1" applyBorder="1" applyAlignment="1">
      <alignment vertical="center" shrinkToFit="1"/>
    </xf>
    <xf numFmtId="38" fontId="9" fillId="0" borderId="36" xfId="1" applyFont="1" applyFill="1" applyBorder="1" applyAlignment="1">
      <alignment vertical="center" shrinkToFit="1"/>
    </xf>
    <xf numFmtId="0" fontId="4" fillId="0" borderId="71" xfId="0" applyFont="1" applyBorder="1" applyAlignment="1">
      <alignment horizontal="center" vertical="center" shrinkToFit="1"/>
    </xf>
    <xf numFmtId="38" fontId="2" fillId="0" borderId="80" xfId="1" applyFont="1" applyFill="1" applyBorder="1">
      <alignment vertical="center"/>
    </xf>
    <xf numFmtId="6" fontId="2" fillId="0" borderId="84" xfId="2" applyFont="1" applyFill="1" applyBorder="1">
      <alignment vertical="center"/>
    </xf>
    <xf numFmtId="38" fontId="13" fillId="0" borderId="72" xfId="1" applyFont="1" applyFill="1" applyBorder="1" applyAlignment="1">
      <alignment vertical="center" shrinkToFit="1"/>
    </xf>
    <xf numFmtId="38" fontId="4" fillId="0" borderId="36" xfId="1" applyFont="1" applyFill="1" applyBorder="1">
      <alignment vertical="center"/>
    </xf>
    <xf numFmtId="38" fontId="9" fillId="0" borderId="23" xfId="1" applyFont="1" applyBorder="1">
      <alignment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68" xfId="0" applyNumberFormat="1" applyFont="1" applyBorder="1" applyAlignment="1">
      <alignment horizontal="center" vertical="center"/>
    </xf>
    <xf numFmtId="38" fontId="2" fillId="0" borderId="86" xfId="1" applyFont="1" applyFill="1" applyBorder="1" applyAlignment="1">
      <alignment vertical="center" shrinkToFit="1"/>
    </xf>
    <xf numFmtId="38" fontId="2" fillId="0" borderId="0" xfId="1" applyFont="1" applyFill="1" applyBorder="1" applyAlignment="1">
      <alignment vertical="center" shrinkToFit="1"/>
    </xf>
    <xf numFmtId="38" fontId="2" fillId="0" borderId="88" xfId="1" applyFont="1" applyFill="1" applyBorder="1" applyAlignment="1">
      <alignment vertical="center" shrinkToFit="1"/>
    </xf>
    <xf numFmtId="38" fontId="2" fillId="0" borderId="10" xfId="1" applyFont="1" applyFill="1" applyBorder="1" applyAlignment="1">
      <alignment vertical="center" shrinkToFit="1"/>
    </xf>
    <xf numFmtId="38" fontId="2" fillId="0" borderId="36" xfId="1" applyFont="1" applyFill="1" applyBorder="1" applyAlignment="1">
      <alignment vertical="center" shrinkToFit="1"/>
    </xf>
    <xf numFmtId="38" fontId="2" fillId="0" borderId="52" xfId="1" applyFont="1" applyFill="1" applyBorder="1" applyAlignment="1">
      <alignment vertical="center" shrinkToFit="1"/>
    </xf>
    <xf numFmtId="38" fontId="2" fillId="0" borderId="19" xfId="1" applyFont="1" applyFill="1" applyBorder="1" applyAlignment="1">
      <alignment vertical="center" shrinkToFit="1"/>
    </xf>
    <xf numFmtId="38" fontId="2" fillId="0" borderId="45" xfId="1" applyFont="1" applyFill="1" applyBorder="1" applyAlignment="1">
      <alignment vertical="center" shrinkToFit="1"/>
    </xf>
    <xf numFmtId="38" fontId="4" fillId="0" borderId="64" xfId="1" applyFont="1" applyFill="1" applyBorder="1">
      <alignment vertical="center"/>
    </xf>
    <xf numFmtId="38" fontId="6" fillId="0" borderId="91" xfId="1" applyFont="1" applyFill="1" applyBorder="1">
      <alignment vertical="center"/>
    </xf>
    <xf numFmtId="38" fontId="9" fillId="2" borderId="55" xfId="1" applyFont="1" applyFill="1" applyBorder="1" applyAlignment="1">
      <alignment horizontal="right" vertical="center" shrinkToFit="1"/>
    </xf>
    <xf numFmtId="38" fontId="9" fillId="2" borderId="56" xfId="1" applyFont="1" applyFill="1" applyBorder="1" applyAlignment="1">
      <alignment horizontal="right" vertical="center" shrinkToFit="1"/>
    </xf>
    <xf numFmtId="38" fontId="9" fillId="2" borderId="55" xfId="1" applyFont="1" applyFill="1" applyBorder="1" applyAlignment="1">
      <alignment horizontal="right" vertical="center"/>
    </xf>
    <xf numFmtId="38" fontId="9" fillId="2" borderId="28" xfId="1" applyFont="1" applyFill="1" applyBorder="1" applyAlignment="1">
      <alignment horizontal="right" vertical="center" shrinkToFit="1"/>
    </xf>
    <xf numFmtId="38" fontId="9" fillId="2" borderId="1" xfId="1" applyFont="1" applyFill="1" applyBorder="1" applyAlignment="1">
      <alignment horizontal="right" vertical="center" shrinkToFit="1"/>
    </xf>
    <xf numFmtId="38" fontId="9" fillId="2" borderId="28" xfId="1" applyFont="1" applyFill="1" applyBorder="1" applyAlignment="1">
      <alignment horizontal="right" vertical="center"/>
    </xf>
    <xf numFmtId="38" fontId="0" fillId="3" borderId="78" xfId="1" applyFont="1" applyFill="1" applyBorder="1" applyAlignment="1">
      <alignment horizontal="center" vertical="center" shrinkToFit="1"/>
    </xf>
    <xf numFmtId="38" fontId="0" fillId="3" borderId="13" xfId="1" applyFont="1" applyFill="1" applyBorder="1" applyAlignment="1">
      <alignment horizontal="center" vertical="center" shrinkToFit="1"/>
    </xf>
    <xf numFmtId="38" fontId="6" fillId="3" borderId="23" xfId="1" applyFont="1" applyFill="1" applyBorder="1">
      <alignment vertical="center"/>
    </xf>
    <xf numFmtId="38" fontId="6" fillId="3" borderId="31" xfId="1" applyFont="1" applyFill="1" applyBorder="1">
      <alignment vertical="center"/>
    </xf>
    <xf numFmtId="38" fontId="6" fillId="3" borderId="54" xfId="1" applyFont="1" applyFill="1" applyBorder="1">
      <alignment vertical="center"/>
    </xf>
    <xf numFmtId="38" fontId="9" fillId="3" borderId="39" xfId="1" applyFont="1" applyFill="1" applyBorder="1">
      <alignment vertical="center"/>
    </xf>
    <xf numFmtId="38" fontId="9" fillId="3" borderId="43" xfId="1" applyFont="1" applyFill="1" applyBorder="1">
      <alignment vertical="center"/>
    </xf>
    <xf numFmtId="38" fontId="9" fillId="3" borderId="41" xfId="1" applyFont="1" applyFill="1" applyBorder="1">
      <alignment vertical="center"/>
    </xf>
    <xf numFmtId="38" fontId="9" fillId="3" borderId="4" xfId="1" applyFont="1" applyFill="1" applyBorder="1">
      <alignment vertical="center"/>
    </xf>
    <xf numFmtId="38" fontId="9" fillId="3" borderId="59" xfId="1" applyFont="1" applyFill="1" applyBorder="1">
      <alignment vertical="center"/>
    </xf>
    <xf numFmtId="38" fontId="9" fillId="3" borderId="3" xfId="1" applyFont="1" applyFill="1" applyBorder="1">
      <alignment vertical="center"/>
    </xf>
    <xf numFmtId="38" fontId="2" fillId="3" borderId="4" xfId="1" applyFont="1" applyFill="1" applyBorder="1">
      <alignment vertical="center"/>
    </xf>
    <xf numFmtId="38" fontId="2" fillId="3" borderId="32" xfId="1" applyFont="1" applyFill="1" applyBorder="1">
      <alignment vertical="center"/>
    </xf>
    <xf numFmtId="38" fontId="2" fillId="3" borderId="43" xfId="1" applyFont="1" applyFill="1" applyBorder="1">
      <alignment vertical="center"/>
    </xf>
    <xf numFmtId="38" fontId="2" fillId="3" borderId="13" xfId="1" applyFont="1" applyFill="1" applyBorder="1">
      <alignment vertical="center"/>
    </xf>
    <xf numFmtId="38" fontId="2" fillId="3" borderId="46" xfId="1" applyFont="1" applyFill="1" applyBorder="1">
      <alignment vertical="center"/>
    </xf>
    <xf numFmtId="38" fontId="0" fillId="3" borderId="0" xfId="1" applyFont="1" applyFill="1">
      <alignment vertical="center"/>
    </xf>
    <xf numFmtId="38" fontId="0" fillId="3" borderId="14" xfId="1" applyFont="1" applyFill="1" applyBorder="1" applyAlignment="1">
      <alignment horizontal="center" vertical="center" shrinkToFit="1"/>
    </xf>
    <xf numFmtId="38" fontId="6" fillId="3" borderId="47" xfId="1" applyFont="1" applyFill="1" applyBorder="1">
      <alignment vertical="center"/>
    </xf>
    <xf numFmtId="38" fontId="6" fillId="3" borderId="33" xfId="1" applyFont="1" applyFill="1" applyBorder="1">
      <alignment vertical="center"/>
    </xf>
    <xf numFmtId="38" fontId="9" fillId="3" borderId="21" xfId="1" applyFont="1" applyFill="1" applyBorder="1">
      <alignment vertical="center"/>
    </xf>
    <xf numFmtId="38" fontId="6" fillId="3" borderId="4" xfId="1" applyFont="1" applyFill="1" applyBorder="1">
      <alignment vertical="center"/>
    </xf>
    <xf numFmtId="38" fontId="6" fillId="3" borderId="46" xfId="1" applyFont="1" applyFill="1" applyBorder="1">
      <alignment vertical="center"/>
    </xf>
    <xf numFmtId="6" fontId="4" fillId="3" borderId="86" xfId="2" applyFont="1" applyFill="1" applyBorder="1" applyAlignment="1">
      <alignment horizontal="center" vertical="center" shrinkToFit="1"/>
    </xf>
    <xf numFmtId="6" fontId="4" fillId="3" borderId="88" xfId="2" applyFont="1" applyFill="1" applyBorder="1" applyAlignment="1">
      <alignment horizontal="center" vertical="center" shrinkToFit="1"/>
    </xf>
    <xf numFmtId="6" fontId="6" fillId="3" borderId="1" xfId="2" applyFont="1" applyFill="1" applyBorder="1">
      <alignment vertical="center"/>
    </xf>
    <xf numFmtId="6" fontId="6" fillId="3" borderId="61" xfId="2" applyFont="1" applyFill="1" applyBorder="1">
      <alignment vertical="center"/>
    </xf>
    <xf numFmtId="6" fontId="6" fillId="3" borderId="0" xfId="2" applyFont="1" applyFill="1" applyBorder="1">
      <alignment vertical="center"/>
    </xf>
    <xf numFmtId="6" fontId="6" fillId="3" borderId="86" xfId="2" applyFont="1" applyFill="1" applyBorder="1">
      <alignment vertical="center"/>
    </xf>
    <xf numFmtId="6" fontId="6" fillId="3" borderId="87" xfId="2" applyFont="1" applyFill="1" applyBorder="1">
      <alignment vertical="center"/>
    </xf>
    <xf numFmtId="6" fontId="6" fillId="3" borderId="74" xfId="2" applyFont="1" applyFill="1" applyBorder="1">
      <alignment vertical="center"/>
    </xf>
    <xf numFmtId="6" fontId="2" fillId="3" borderId="86" xfId="2" applyFont="1" applyFill="1" applyBorder="1">
      <alignment vertical="center"/>
    </xf>
    <xf numFmtId="6" fontId="2" fillId="3" borderId="72" xfId="2" applyFont="1" applyFill="1" applyBorder="1">
      <alignment vertical="center"/>
    </xf>
    <xf numFmtId="6" fontId="2" fillId="3" borderId="87" xfId="2" applyFont="1" applyFill="1" applyBorder="1">
      <alignment vertical="center"/>
    </xf>
    <xf numFmtId="6" fontId="2" fillId="3" borderId="88" xfId="2" applyFont="1" applyFill="1" applyBorder="1">
      <alignment vertical="center"/>
    </xf>
    <xf numFmtId="6" fontId="9" fillId="3" borderId="0" xfId="2" applyFont="1" applyFill="1" applyAlignment="1">
      <alignment horizontal="right" vertical="center"/>
    </xf>
    <xf numFmtId="6" fontId="0" fillId="3" borderId="0" xfId="2" applyFont="1" applyFill="1">
      <alignment vertical="center"/>
    </xf>
    <xf numFmtId="6" fontId="6" fillId="0" borderId="81" xfId="2" applyFont="1" applyFill="1" applyBorder="1" applyAlignment="1">
      <alignment horizontal="center" vertical="center"/>
    </xf>
    <xf numFmtId="6" fontId="6" fillId="3" borderId="74" xfId="2" applyFont="1" applyFill="1" applyBorder="1" applyAlignment="1">
      <alignment vertical="center" shrinkToFit="1"/>
    </xf>
    <xf numFmtId="38" fontId="2" fillId="2" borderId="10" xfId="1" applyFont="1" applyFill="1" applyBorder="1" applyAlignment="1">
      <alignment vertical="center" shrinkToFit="1"/>
    </xf>
    <xf numFmtId="38" fontId="2" fillId="2" borderId="86" xfId="1" applyFont="1" applyFill="1" applyBorder="1" applyAlignment="1">
      <alignment vertical="center" shrinkToFit="1"/>
    </xf>
    <xf numFmtId="38" fontId="4" fillId="2" borderId="10" xfId="1" applyFont="1" applyFill="1" applyBorder="1">
      <alignment vertical="center"/>
    </xf>
    <xf numFmtId="0" fontId="4" fillId="0" borderId="0" xfId="0" applyFont="1" applyAlignment="1">
      <alignment horizontal="left" vertical="center"/>
    </xf>
    <xf numFmtId="38" fontId="4" fillId="0" borderId="0" xfId="1" applyFont="1" applyFill="1" applyAlignment="1">
      <alignment vertical="center"/>
    </xf>
    <xf numFmtId="38" fontId="9" fillId="0" borderId="55" xfId="1" applyFont="1" applyFill="1" applyBorder="1" applyAlignment="1">
      <alignment horizontal="right" vertical="center" shrinkToFit="1"/>
    </xf>
    <xf numFmtId="38" fontId="9" fillId="0" borderId="56" xfId="1" applyFont="1" applyFill="1" applyBorder="1" applyAlignment="1">
      <alignment horizontal="right" vertical="center" shrinkToFit="1"/>
    </xf>
    <xf numFmtId="38" fontId="9" fillId="0" borderId="28" xfId="1" applyFont="1" applyFill="1" applyBorder="1" applyAlignment="1">
      <alignment horizontal="right" vertical="center" shrinkToFit="1"/>
    </xf>
    <xf numFmtId="38" fontId="9" fillId="0" borderId="1" xfId="1" applyFont="1" applyFill="1" applyBorder="1" applyAlignment="1">
      <alignment horizontal="right" vertical="center" shrinkToFit="1"/>
    </xf>
    <xf numFmtId="38" fontId="9" fillId="0" borderId="0" xfId="1" applyFont="1" applyFill="1" applyBorder="1" applyAlignment="1">
      <alignment vertical="center" shrinkToFit="1"/>
    </xf>
    <xf numFmtId="38" fontId="2" fillId="0" borderId="94" xfId="1" applyFont="1" applyFill="1" applyBorder="1">
      <alignment vertical="center"/>
    </xf>
    <xf numFmtId="38" fontId="2" fillId="0" borderId="95" xfId="1" applyFont="1" applyFill="1" applyBorder="1">
      <alignment vertical="center"/>
    </xf>
    <xf numFmtId="38" fontId="2" fillId="0" borderId="96" xfId="1" applyFont="1" applyFill="1" applyBorder="1">
      <alignment vertical="center"/>
    </xf>
    <xf numFmtId="38" fontId="4" fillId="0" borderId="88" xfId="1" applyFont="1" applyFill="1" applyBorder="1">
      <alignment vertical="center"/>
    </xf>
    <xf numFmtId="182" fontId="4" fillId="0" borderId="0" xfId="3" applyNumberFormat="1" applyFont="1" applyFill="1">
      <alignment vertical="center"/>
    </xf>
    <xf numFmtId="38" fontId="6" fillId="0" borderId="39" xfId="1" applyFont="1" applyFill="1" applyBorder="1">
      <alignment vertical="center"/>
    </xf>
    <xf numFmtId="38" fontId="6" fillId="0" borderId="3" xfId="1" applyFont="1" applyFill="1" applyBorder="1">
      <alignment vertical="center"/>
    </xf>
    <xf numFmtId="38" fontId="6" fillId="0" borderId="6" xfId="1" applyFont="1" applyFill="1" applyBorder="1">
      <alignment vertical="center"/>
    </xf>
    <xf numFmtId="6" fontId="8" fillId="0" borderId="2" xfId="1" applyNumberFormat="1" applyFont="1" applyFill="1" applyBorder="1" applyAlignment="1">
      <alignment vertical="center" shrinkToFit="1"/>
    </xf>
    <xf numFmtId="38" fontId="9" fillId="0" borderId="22" xfId="1" applyFont="1" applyBorder="1">
      <alignment vertical="center"/>
    </xf>
    <xf numFmtId="178" fontId="10" fillId="0" borderId="61" xfId="0" applyNumberFormat="1" applyFont="1" applyBorder="1" applyAlignment="1">
      <alignment horizontal="center" vertical="center"/>
    </xf>
    <xf numFmtId="38" fontId="9" fillId="0" borderId="30" xfId="1" applyFont="1" applyFill="1" applyBorder="1" applyAlignment="1">
      <alignment horizontal="right" vertical="center" shrinkToFit="1"/>
    </xf>
    <xf numFmtId="38" fontId="9" fillId="0" borderId="61" xfId="1" applyFont="1" applyFill="1" applyBorder="1" applyAlignment="1">
      <alignment horizontal="right" vertical="center" shrinkToFit="1"/>
    </xf>
    <xf numFmtId="38" fontId="9" fillId="0" borderId="34" xfId="1" applyFont="1" applyFill="1" applyBorder="1" applyAlignment="1">
      <alignment horizontal="right" vertical="center"/>
    </xf>
    <xf numFmtId="178" fontId="10" fillId="0" borderId="74" xfId="0" applyNumberFormat="1" applyFont="1" applyBorder="1" applyAlignment="1">
      <alignment horizontal="center" vertical="center"/>
    </xf>
    <xf numFmtId="38" fontId="6" fillId="0" borderId="74" xfId="1" applyFont="1" applyFill="1" applyBorder="1">
      <alignment vertical="center"/>
    </xf>
    <xf numFmtId="38" fontId="9" fillId="0" borderId="74" xfId="1" applyFont="1" applyFill="1" applyBorder="1" applyAlignment="1">
      <alignment horizontal="right" vertical="center" shrinkToFit="1"/>
    </xf>
    <xf numFmtId="38" fontId="9" fillId="0" borderId="68" xfId="1" applyFont="1" applyFill="1" applyBorder="1" applyAlignment="1">
      <alignment horizontal="right" vertical="center"/>
    </xf>
    <xf numFmtId="38" fontId="9" fillId="0" borderId="9" xfId="1" applyFont="1" applyFill="1" applyBorder="1" applyAlignment="1">
      <alignment vertical="center" shrinkToFit="1"/>
    </xf>
    <xf numFmtId="38" fontId="10" fillId="0" borderId="9" xfId="1" applyFont="1" applyFill="1" applyBorder="1">
      <alignment vertical="center"/>
    </xf>
    <xf numFmtId="177" fontId="10" fillId="0" borderId="97" xfId="0" applyNumberFormat="1" applyFont="1" applyBorder="1" applyAlignment="1">
      <alignment horizontal="center" vertical="center"/>
    </xf>
    <xf numFmtId="178" fontId="10" fillId="0" borderId="83" xfId="0" applyNumberFormat="1" applyFont="1" applyBorder="1" applyAlignment="1">
      <alignment horizontal="center" vertical="center"/>
    </xf>
    <xf numFmtId="38" fontId="6" fillId="0" borderId="98" xfId="1" applyFont="1" applyFill="1" applyBorder="1">
      <alignment vertical="center"/>
    </xf>
    <xf numFmtId="38" fontId="6" fillId="0" borderId="99" xfId="1" applyFont="1" applyFill="1" applyBorder="1">
      <alignment vertical="center"/>
    </xf>
    <xf numFmtId="6" fontId="6" fillId="0" borderId="100" xfId="2" applyFont="1" applyFill="1" applyBorder="1">
      <alignment vertical="center"/>
    </xf>
    <xf numFmtId="38" fontId="9" fillId="0" borderId="100" xfId="1" applyFont="1" applyFill="1" applyBorder="1" applyAlignment="1">
      <alignment horizontal="right" vertical="center" shrinkToFit="1"/>
    </xf>
    <xf numFmtId="38" fontId="9" fillId="0" borderId="69" xfId="1" applyFont="1" applyFill="1" applyBorder="1" applyAlignment="1">
      <alignment horizontal="right" vertical="center" shrinkToFit="1"/>
    </xf>
    <xf numFmtId="38" fontId="9" fillId="0" borderId="74" xfId="1" applyFont="1" applyFill="1" applyBorder="1" applyAlignment="1">
      <alignment vertical="center" shrinkToFit="1"/>
    </xf>
    <xf numFmtId="38" fontId="9" fillId="0" borderId="7" xfId="1" applyFont="1" applyFill="1" applyBorder="1" applyAlignment="1">
      <alignment vertical="center" shrinkToFit="1"/>
    </xf>
    <xf numFmtId="38" fontId="9" fillId="0" borderId="62" xfId="1" applyFont="1" applyFill="1" applyBorder="1" applyAlignment="1">
      <alignment vertical="center" shrinkToFit="1"/>
    </xf>
    <xf numFmtId="38" fontId="9" fillId="0" borderId="1" xfId="1" applyFont="1" applyFill="1" applyBorder="1">
      <alignment vertical="center"/>
    </xf>
    <xf numFmtId="38" fontId="2" fillId="0" borderId="7" xfId="1" applyFont="1" applyFill="1" applyBorder="1" applyAlignment="1">
      <alignment vertical="center" shrinkToFit="1"/>
    </xf>
    <xf numFmtId="38" fontId="2" fillId="0" borderId="71" xfId="1" applyFont="1" applyFill="1" applyBorder="1" applyAlignment="1">
      <alignment vertical="center" shrinkToFit="1"/>
    </xf>
    <xf numFmtId="38" fontId="2" fillId="0" borderId="26" xfId="1" applyFont="1" applyFill="1" applyBorder="1" applyAlignment="1">
      <alignment vertical="center" shrinkToFit="1"/>
    </xf>
    <xf numFmtId="38" fontId="2" fillId="0" borderId="16" xfId="1" applyFont="1" applyFill="1" applyBorder="1" applyAlignment="1">
      <alignment vertical="center" shrinkToFit="1"/>
    </xf>
    <xf numFmtId="178" fontId="7" fillId="0" borderId="55" xfId="1" applyNumberFormat="1" applyFont="1" applyFill="1" applyBorder="1" applyAlignment="1">
      <alignment vertical="center" shrinkToFit="1"/>
    </xf>
    <xf numFmtId="6" fontId="8" fillId="0" borderId="9" xfId="1" applyNumberFormat="1" applyFont="1" applyFill="1" applyBorder="1" applyAlignment="1">
      <alignment vertical="center" shrinkToFit="1"/>
    </xf>
    <xf numFmtId="38" fontId="7" fillId="0" borderId="9" xfId="1" applyFont="1" applyFill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0" borderId="64" xfId="0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38" fontId="13" fillId="0" borderId="10" xfId="1" applyFont="1" applyFill="1" applyBorder="1" applyAlignment="1">
      <alignment vertical="center" shrinkToFit="1"/>
    </xf>
    <xf numFmtId="38" fontId="13" fillId="0" borderId="50" xfId="1" applyFont="1" applyFill="1" applyBorder="1" applyAlignment="1">
      <alignment vertical="center" shrinkToFit="1"/>
    </xf>
    <xf numFmtId="38" fontId="2" fillId="0" borderId="64" xfId="1" applyFont="1" applyFill="1" applyBorder="1" applyAlignment="1">
      <alignment vertical="center" shrinkToFit="1"/>
    </xf>
    <xf numFmtId="38" fontId="13" fillId="0" borderId="64" xfId="1" applyFont="1" applyFill="1" applyBorder="1" applyAlignment="1">
      <alignment vertical="center" shrinkToFit="1"/>
    </xf>
    <xf numFmtId="38" fontId="13" fillId="0" borderId="19" xfId="1" applyFont="1" applyFill="1" applyBorder="1" applyAlignment="1">
      <alignment vertical="center" shrinkToFit="1"/>
    </xf>
    <xf numFmtId="38" fontId="4" fillId="0" borderId="0" xfId="1" applyFont="1" applyFill="1" applyAlignment="1">
      <alignment horizontal="left" vertical="center"/>
    </xf>
    <xf numFmtId="38" fontId="6" fillId="0" borderId="31" xfId="1" applyFont="1" applyFill="1" applyBorder="1" applyAlignment="1">
      <alignment horizontal="right" vertical="center"/>
    </xf>
    <xf numFmtId="6" fontId="6" fillId="0" borderId="61" xfId="2" applyFont="1" applyFill="1" applyBorder="1">
      <alignment vertical="center"/>
    </xf>
    <xf numFmtId="6" fontId="8" fillId="0" borderId="34" xfId="1" applyNumberFormat="1" applyFont="1" applyFill="1" applyBorder="1" applyAlignment="1">
      <alignment vertical="center" shrinkToFit="1"/>
    </xf>
    <xf numFmtId="38" fontId="2" fillId="0" borderId="0" xfId="1" applyFont="1" applyFill="1" applyBorder="1">
      <alignment vertical="center"/>
    </xf>
    <xf numFmtId="38" fontId="6" fillId="0" borderId="1" xfId="1" applyFont="1" applyFill="1" applyBorder="1">
      <alignment vertical="center"/>
    </xf>
    <xf numFmtId="6" fontId="15" fillId="0" borderId="30" xfId="1" applyNumberFormat="1" applyFont="1" applyFill="1" applyBorder="1" applyAlignment="1">
      <alignment vertical="center" wrapText="1" shrinkToFit="1"/>
    </xf>
    <xf numFmtId="38" fontId="2" fillId="0" borderId="101" xfId="1" applyFont="1" applyFill="1" applyBorder="1">
      <alignment vertical="center"/>
    </xf>
    <xf numFmtId="38" fontId="2" fillId="0" borderId="102" xfId="1" applyFont="1" applyFill="1" applyBorder="1">
      <alignment vertical="center"/>
    </xf>
    <xf numFmtId="6" fontId="2" fillId="0" borderId="103" xfId="2" applyFont="1" applyFill="1" applyBorder="1">
      <alignment vertical="center"/>
    </xf>
    <xf numFmtId="38" fontId="2" fillId="0" borderId="104" xfId="1" applyFont="1" applyFill="1" applyBorder="1">
      <alignment vertical="center"/>
    </xf>
    <xf numFmtId="38" fontId="2" fillId="0" borderId="105" xfId="1" applyFont="1" applyFill="1" applyBorder="1">
      <alignment vertical="center"/>
    </xf>
    <xf numFmtId="6" fontId="2" fillId="0" borderId="107" xfId="2" applyFont="1" applyFill="1" applyBorder="1">
      <alignment vertical="center"/>
    </xf>
    <xf numFmtId="38" fontId="2" fillId="0" borderId="108" xfId="1" applyFont="1" applyFill="1" applyBorder="1">
      <alignment vertical="center"/>
    </xf>
    <xf numFmtId="38" fontId="2" fillId="0" borderId="109" xfId="1" applyFont="1" applyFill="1" applyBorder="1">
      <alignment vertical="center"/>
    </xf>
    <xf numFmtId="6" fontId="2" fillId="0" borderId="110" xfId="2" applyFont="1" applyFill="1" applyBorder="1">
      <alignment vertical="center"/>
    </xf>
    <xf numFmtId="0" fontId="14" fillId="0" borderId="0" xfId="0" applyFont="1" applyAlignment="1">
      <alignment horizontal="center" vertical="center"/>
    </xf>
    <xf numFmtId="180" fontId="9" fillId="0" borderId="0" xfId="1" applyNumberFormat="1" applyFont="1" applyFill="1" applyBorder="1" applyAlignment="1">
      <alignment horizontal="right" vertical="center"/>
    </xf>
    <xf numFmtId="40" fontId="9" fillId="0" borderId="0" xfId="1" applyNumberFormat="1" applyFont="1" applyFill="1" applyBorder="1" applyAlignment="1">
      <alignment horizontal="right" vertical="center"/>
    </xf>
    <xf numFmtId="40" fontId="9" fillId="0" borderId="29" xfId="1" applyNumberFormat="1" applyFont="1" applyFill="1" applyBorder="1" applyAlignment="1">
      <alignment horizontal="right" vertical="center"/>
    </xf>
    <xf numFmtId="40" fontId="9" fillId="4" borderId="0" xfId="1" applyNumberFormat="1" applyFont="1" applyFill="1" applyBorder="1" applyAlignment="1">
      <alignment horizontal="right" vertical="center"/>
    </xf>
    <xf numFmtId="6" fontId="15" fillId="0" borderId="35" xfId="1" applyNumberFormat="1" applyFont="1" applyFill="1" applyBorder="1" applyAlignment="1">
      <alignment horizontal="left" vertical="center" wrapText="1" shrinkToFit="1"/>
    </xf>
    <xf numFmtId="38" fontId="2" fillId="0" borderId="106" xfId="1" applyFont="1" applyFill="1" applyBorder="1">
      <alignment vertical="center"/>
    </xf>
    <xf numFmtId="178" fontId="10" fillId="0" borderId="1" xfId="0" applyNumberFormat="1" applyFont="1" applyBorder="1" applyAlignment="1">
      <alignment horizontal="center" vertical="center"/>
    </xf>
    <xf numFmtId="38" fontId="10" fillId="0" borderId="64" xfId="1" applyFont="1" applyFill="1" applyBorder="1" applyAlignment="1">
      <alignment vertical="center" shrinkToFit="1"/>
    </xf>
    <xf numFmtId="0" fontId="4" fillId="0" borderId="30" xfId="0" applyFont="1" applyBorder="1" applyAlignment="1">
      <alignment horizontal="center" vertical="center" shrinkToFit="1"/>
    </xf>
    <xf numFmtId="38" fontId="2" fillId="0" borderId="37" xfId="1" applyFont="1" applyFill="1" applyBorder="1">
      <alignment vertical="center"/>
    </xf>
    <xf numFmtId="180" fontId="2" fillId="0" borderId="0" xfId="1" applyNumberFormat="1" applyFont="1" applyFill="1" applyBorder="1">
      <alignment vertical="center"/>
    </xf>
    <xf numFmtId="38" fontId="2" fillId="0" borderId="72" xfId="1" applyFont="1" applyFill="1" applyBorder="1" applyAlignment="1">
      <alignment vertical="center" shrinkToFit="1"/>
    </xf>
    <xf numFmtId="38" fontId="2" fillId="0" borderId="49" xfId="1" applyFont="1" applyFill="1" applyBorder="1" applyAlignment="1">
      <alignment vertical="center" shrinkToFit="1"/>
    </xf>
    <xf numFmtId="38" fontId="13" fillId="0" borderId="61" xfId="1" applyFont="1" applyFill="1" applyBorder="1" applyAlignment="1">
      <alignment vertical="center" shrinkToFit="1"/>
    </xf>
    <xf numFmtId="38" fontId="2" fillId="0" borderId="35" xfId="1" applyFont="1" applyFill="1" applyBorder="1" applyAlignment="1">
      <alignment vertical="center" shrinkToFit="1"/>
    </xf>
    <xf numFmtId="38" fontId="2" fillId="0" borderId="61" xfId="1" applyFont="1" applyFill="1" applyBorder="1" applyAlignment="1">
      <alignment vertical="center" shrinkToFit="1"/>
    </xf>
    <xf numFmtId="38" fontId="9" fillId="0" borderId="64" xfId="1" applyFont="1" applyFill="1" applyBorder="1">
      <alignment vertical="center"/>
    </xf>
    <xf numFmtId="38" fontId="9" fillId="0" borderId="27" xfId="1" applyFont="1" applyFill="1" applyBorder="1">
      <alignment vertical="center"/>
    </xf>
    <xf numFmtId="0" fontId="0" fillId="0" borderId="27" xfId="0" applyBorder="1" applyAlignment="1">
      <alignment vertical="center" shrinkToFit="1"/>
    </xf>
    <xf numFmtId="38" fontId="9" fillId="0" borderId="27" xfId="1" applyFont="1" applyFill="1" applyBorder="1" applyAlignment="1">
      <alignment vertical="center" shrinkToFit="1"/>
    </xf>
    <xf numFmtId="38" fontId="10" fillId="0" borderId="27" xfId="1" applyFont="1" applyFill="1" applyBorder="1" applyAlignment="1">
      <alignment vertical="center" shrinkToFit="1"/>
    </xf>
    <xf numFmtId="38" fontId="9" fillId="0" borderId="76" xfId="1" applyFont="1" applyFill="1" applyBorder="1">
      <alignment vertical="center"/>
    </xf>
    <xf numFmtId="38" fontId="9" fillId="0" borderId="4" xfId="1" applyFont="1" applyBorder="1" applyAlignment="1">
      <alignment horizontal="right" vertical="center"/>
    </xf>
    <xf numFmtId="38" fontId="9" fillId="0" borderId="70" xfId="1" applyFont="1" applyFill="1" applyBorder="1">
      <alignment vertical="center"/>
    </xf>
    <xf numFmtId="38" fontId="9" fillId="0" borderId="77" xfId="1" applyFont="1" applyFill="1" applyBorder="1">
      <alignment vertical="center"/>
    </xf>
    <xf numFmtId="38" fontId="2" fillId="0" borderId="1" xfId="1" applyFont="1" applyFill="1" applyBorder="1">
      <alignment vertical="center"/>
    </xf>
    <xf numFmtId="38" fontId="2" fillId="0" borderId="34" xfId="1" applyFont="1" applyFill="1" applyBorder="1">
      <alignment vertical="center"/>
    </xf>
    <xf numFmtId="38" fontId="2" fillId="0" borderId="73" xfId="1" applyFont="1" applyFill="1" applyBorder="1">
      <alignment vertical="center"/>
    </xf>
    <xf numFmtId="0" fontId="4" fillId="0" borderId="28" xfId="0" applyFont="1" applyBorder="1" applyAlignment="1">
      <alignment horizontal="center" vertical="center"/>
    </xf>
    <xf numFmtId="38" fontId="2" fillId="0" borderId="69" xfId="1" applyFont="1" applyFill="1" applyBorder="1">
      <alignment vertical="center"/>
    </xf>
    <xf numFmtId="6" fontId="8" fillId="0" borderId="61" xfId="1" applyNumberFormat="1" applyFont="1" applyFill="1" applyBorder="1" applyAlignment="1">
      <alignment vertical="center" shrinkToFit="1"/>
    </xf>
    <xf numFmtId="6" fontId="6" fillId="0" borderId="1" xfId="2" applyFont="1" applyFill="1" applyBorder="1">
      <alignment vertical="center"/>
    </xf>
    <xf numFmtId="0" fontId="4" fillId="0" borderId="35" xfId="0" applyFont="1" applyBorder="1" applyAlignment="1">
      <alignment horizontal="center" vertical="center" shrinkToFit="1"/>
    </xf>
    <xf numFmtId="38" fontId="4" fillId="0" borderId="72" xfId="1" applyFont="1" applyFill="1" applyBorder="1" applyAlignment="1">
      <alignment vertical="center" shrinkToFit="1"/>
    </xf>
    <xf numFmtId="38" fontId="4" fillId="0" borderId="61" xfId="1" applyFont="1" applyFill="1" applyBorder="1" applyAlignment="1">
      <alignment vertical="center" shrinkToFit="1"/>
    </xf>
    <xf numFmtId="38" fontId="4" fillId="0" borderId="88" xfId="1" applyFont="1" applyFill="1" applyBorder="1" applyAlignment="1">
      <alignment vertical="center" shrinkToFit="1"/>
    </xf>
    <xf numFmtId="38" fontId="9" fillId="0" borderId="39" xfId="1" applyFont="1" applyFill="1" applyBorder="1" applyAlignment="1">
      <alignment horizontal="right" vertical="center"/>
    </xf>
    <xf numFmtId="38" fontId="2" fillId="0" borderId="91" xfId="1" applyFont="1" applyFill="1" applyBorder="1">
      <alignment vertical="center"/>
    </xf>
    <xf numFmtId="38" fontId="2" fillId="0" borderId="111" xfId="1" applyFont="1" applyFill="1" applyBorder="1">
      <alignment vertical="center"/>
    </xf>
    <xf numFmtId="177" fontId="10" fillId="0" borderId="61" xfId="0" applyNumberFormat="1" applyFont="1" applyBorder="1" applyAlignment="1">
      <alignment horizontal="center" vertical="center"/>
    </xf>
    <xf numFmtId="38" fontId="9" fillId="0" borderId="61" xfId="1" applyFont="1" applyFill="1" applyBorder="1" applyAlignment="1">
      <alignment horizontal="right" vertical="center"/>
    </xf>
    <xf numFmtId="6" fontId="4" fillId="0" borderId="0" xfId="2" applyFont="1" applyFill="1" applyBorder="1">
      <alignment vertical="center"/>
    </xf>
    <xf numFmtId="180" fontId="4" fillId="0" borderId="0" xfId="1" applyNumberFormat="1" applyFont="1" applyFill="1" applyBorder="1">
      <alignment vertical="center"/>
    </xf>
    <xf numFmtId="38" fontId="0" fillId="0" borderId="0" xfId="1" applyFont="1" applyFill="1" applyBorder="1">
      <alignment vertical="center"/>
    </xf>
    <xf numFmtId="10" fontId="0" fillId="0" borderId="0" xfId="3" applyNumberFormat="1" applyFont="1" applyBorder="1">
      <alignment vertical="center"/>
    </xf>
    <xf numFmtId="6" fontId="8" fillId="0" borderId="74" xfId="1" applyNumberFormat="1" applyFont="1" applyFill="1" applyBorder="1" applyAlignment="1">
      <alignment vertical="center" shrinkToFit="1"/>
    </xf>
    <xf numFmtId="6" fontId="8" fillId="0" borderId="0" xfId="1" applyNumberFormat="1" applyFont="1" applyFill="1" applyBorder="1" applyAlignment="1">
      <alignment vertical="center" shrinkToFit="1"/>
    </xf>
    <xf numFmtId="38" fontId="9" fillId="0" borderId="1" xfId="1" applyFont="1" applyFill="1" applyBorder="1" applyAlignment="1">
      <alignment horizontal="right" vertical="center"/>
    </xf>
    <xf numFmtId="10" fontId="0" fillId="0" borderId="0" xfId="3" applyNumberFormat="1" applyFont="1" applyFill="1" applyBorder="1">
      <alignment vertical="center"/>
    </xf>
    <xf numFmtId="38" fontId="2" fillId="0" borderId="12" xfId="1" applyFont="1" applyFill="1" applyBorder="1">
      <alignment vertical="center"/>
    </xf>
    <xf numFmtId="38" fontId="6" fillId="0" borderId="112" xfId="1" applyFont="1" applyFill="1" applyBorder="1">
      <alignment vertical="center"/>
    </xf>
    <xf numFmtId="178" fontId="10" fillId="0" borderId="67" xfId="0" applyNumberFormat="1" applyFont="1" applyBorder="1" applyAlignment="1">
      <alignment horizontal="center" vertical="center"/>
    </xf>
    <xf numFmtId="177" fontId="10" fillId="0" borderId="77" xfId="0" applyNumberFormat="1" applyFont="1" applyBorder="1" applyAlignment="1">
      <alignment horizontal="center" vertical="center"/>
    </xf>
    <xf numFmtId="38" fontId="6" fillId="0" borderId="113" xfId="1" applyFont="1" applyFill="1" applyBorder="1">
      <alignment vertical="center"/>
    </xf>
    <xf numFmtId="38" fontId="6" fillId="0" borderId="46" xfId="1" applyFont="1" applyFill="1" applyBorder="1" applyAlignment="1">
      <alignment horizontal="right" vertical="center"/>
    </xf>
    <xf numFmtId="178" fontId="7" fillId="0" borderId="40" xfId="1" applyNumberFormat="1" applyFont="1" applyFill="1" applyBorder="1" applyAlignment="1">
      <alignment vertical="center" shrinkToFit="1"/>
    </xf>
    <xf numFmtId="38" fontId="6" fillId="0" borderId="114" xfId="1" applyFont="1" applyFill="1" applyBorder="1">
      <alignment vertical="center"/>
    </xf>
    <xf numFmtId="6" fontId="6" fillId="0" borderId="115" xfId="2" applyFont="1" applyFill="1" applyBorder="1">
      <alignment vertical="center"/>
    </xf>
    <xf numFmtId="178" fontId="7" fillId="0" borderId="116" xfId="1" applyNumberFormat="1" applyFont="1" applyFill="1" applyBorder="1" applyAlignment="1">
      <alignment vertical="center" shrinkToFit="1"/>
    </xf>
    <xf numFmtId="38" fontId="9" fillId="0" borderId="35" xfId="1" applyFont="1" applyFill="1" applyBorder="1" applyAlignment="1">
      <alignment horizontal="right" vertical="center"/>
    </xf>
    <xf numFmtId="38" fontId="9" fillId="0" borderId="64" xfId="1" applyFont="1" applyFill="1" applyBorder="1" applyAlignment="1">
      <alignment horizontal="right" vertical="center"/>
    </xf>
    <xf numFmtId="38" fontId="9" fillId="0" borderId="27" xfId="1" applyFont="1" applyFill="1" applyBorder="1" applyAlignment="1">
      <alignment horizontal="right" vertical="center"/>
    </xf>
    <xf numFmtId="38" fontId="9" fillId="0" borderId="0" xfId="1" applyFont="1" applyFill="1" applyBorder="1" applyAlignment="1">
      <alignment horizontal="right" vertical="center" shrinkToFit="1"/>
    </xf>
    <xf numFmtId="38" fontId="9" fillId="0" borderId="10" xfId="1" applyFont="1" applyFill="1" applyBorder="1" applyAlignment="1">
      <alignment horizontal="right" vertical="center"/>
    </xf>
    <xf numFmtId="38" fontId="9" fillId="0" borderId="29" xfId="1" applyFont="1" applyFill="1" applyBorder="1" applyAlignment="1">
      <alignment horizontal="right" vertical="center" shrinkToFit="1"/>
    </xf>
    <xf numFmtId="38" fontId="0" fillId="0" borderId="0" xfId="1" applyFont="1" applyFill="1" applyBorder="1" applyAlignment="1">
      <alignment vertical="center" shrinkToFit="1"/>
    </xf>
    <xf numFmtId="38" fontId="10" fillId="0" borderId="126" xfId="1" applyFont="1" applyFill="1" applyBorder="1" applyAlignment="1">
      <alignment horizontal="center" vertical="center" shrinkToFit="1"/>
    </xf>
    <xf numFmtId="38" fontId="10" fillId="0" borderId="128" xfId="1" applyFont="1" applyFill="1" applyBorder="1" applyAlignment="1">
      <alignment horizontal="center" vertical="center" shrinkToFit="1"/>
    </xf>
    <xf numFmtId="38" fontId="9" fillId="0" borderId="131" xfId="1" applyFont="1" applyFill="1" applyBorder="1" applyAlignment="1">
      <alignment horizontal="right" vertical="center"/>
    </xf>
    <xf numFmtId="38" fontId="9" fillId="0" borderId="133" xfId="1" applyFont="1" applyFill="1" applyBorder="1" applyAlignment="1">
      <alignment horizontal="right" vertical="center"/>
    </xf>
    <xf numFmtId="38" fontId="2" fillId="0" borderId="139" xfId="1" applyFont="1" applyFill="1" applyBorder="1">
      <alignment vertical="center"/>
    </xf>
    <xf numFmtId="38" fontId="2" fillId="0" borderId="140" xfId="1" applyFont="1" applyFill="1" applyBorder="1">
      <alignment vertical="center"/>
    </xf>
    <xf numFmtId="38" fontId="9" fillId="0" borderId="43" xfId="1" applyFont="1" applyFill="1" applyBorder="1" applyAlignment="1">
      <alignment vertical="center" shrinkToFit="1"/>
    </xf>
    <xf numFmtId="38" fontId="9" fillId="0" borderId="70" xfId="1" applyFont="1" applyFill="1" applyBorder="1" applyAlignment="1">
      <alignment vertical="center" shrinkToFit="1"/>
    </xf>
    <xf numFmtId="38" fontId="10" fillId="0" borderId="44" xfId="1" applyFont="1" applyFill="1" applyBorder="1" applyAlignment="1">
      <alignment vertical="center" shrinkToFit="1"/>
    </xf>
    <xf numFmtId="38" fontId="9" fillId="0" borderId="37" xfId="1" applyFont="1" applyFill="1" applyBorder="1" applyAlignment="1">
      <alignment horizontal="right" vertical="center" shrinkToFit="1"/>
    </xf>
    <xf numFmtId="38" fontId="9" fillId="0" borderId="31" xfId="1" applyFont="1" applyFill="1" applyBorder="1" applyAlignment="1">
      <alignment horizontal="right" vertical="center" shrinkToFit="1"/>
    </xf>
    <xf numFmtId="38" fontId="9" fillId="0" borderId="31" xfId="1" applyFont="1" applyFill="1" applyBorder="1" applyAlignment="1">
      <alignment vertical="center" shrinkToFit="1"/>
    </xf>
    <xf numFmtId="38" fontId="10" fillId="0" borderId="38" xfId="1" applyFont="1" applyBorder="1" applyAlignment="1">
      <alignment vertical="center" shrinkToFit="1"/>
    </xf>
    <xf numFmtId="38" fontId="9" fillId="0" borderId="91" xfId="1" applyFont="1" applyFill="1" applyBorder="1" applyAlignment="1">
      <alignment vertical="center" shrinkToFit="1"/>
    </xf>
    <xf numFmtId="38" fontId="10" fillId="0" borderId="38" xfId="1" applyFont="1" applyFill="1" applyBorder="1" applyAlignment="1">
      <alignment vertical="center" shrinkToFit="1"/>
    </xf>
    <xf numFmtId="38" fontId="2" fillId="0" borderId="91" xfId="1" applyFont="1" applyFill="1" applyBorder="1" applyAlignment="1">
      <alignment vertical="center" shrinkToFit="1"/>
    </xf>
    <xf numFmtId="38" fontId="2" fillId="0" borderId="31" xfId="1" applyFont="1" applyFill="1" applyBorder="1" applyAlignment="1">
      <alignment vertical="center" shrinkToFit="1"/>
    </xf>
    <xf numFmtId="38" fontId="9" fillId="0" borderId="4" xfId="1" applyFont="1" applyFill="1" applyBorder="1" applyAlignment="1">
      <alignment vertical="center" shrinkToFit="1"/>
    </xf>
    <xf numFmtId="38" fontId="9" fillId="0" borderId="22" xfId="1" applyFont="1" applyFill="1" applyBorder="1" applyAlignment="1">
      <alignment vertical="center" shrinkToFit="1"/>
    </xf>
    <xf numFmtId="38" fontId="9" fillId="0" borderId="144" xfId="1" applyFont="1" applyFill="1" applyBorder="1" applyAlignment="1">
      <alignment horizontal="right" vertical="center"/>
    </xf>
    <xf numFmtId="38" fontId="9" fillId="0" borderId="145" xfId="1" applyFont="1" applyFill="1" applyBorder="1" applyAlignment="1">
      <alignment horizontal="right" vertical="center"/>
    </xf>
    <xf numFmtId="38" fontId="10" fillId="0" borderId="57" xfId="1" applyFont="1" applyBorder="1" applyAlignment="1">
      <alignment vertical="center" shrinkToFit="1"/>
    </xf>
    <xf numFmtId="38" fontId="2" fillId="0" borderId="147" xfId="1" applyFont="1" applyFill="1" applyBorder="1">
      <alignment vertical="center"/>
    </xf>
    <xf numFmtId="38" fontId="9" fillId="0" borderId="141" xfId="1" applyFont="1" applyFill="1" applyBorder="1" applyAlignment="1">
      <alignment horizontal="right" vertical="center" shrinkToFit="1"/>
    </xf>
    <xf numFmtId="38" fontId="9" fillId="0" borderId="113" xfId="1" applyFont="1" applyFill="1" applyBorder="1" applyAlignment="1">
      <alignment horizontal="right" vertical="center" shrinkToFit="1"/>
    </xf>
    <xf numFmtId="177" fontId="10" fillId="0" borderId="129" xfId="0" applyNumberFormat="1" applyFont="1" applyBorder="1" applyAlignment="1">
      <alignment horizontal="center" vertical="center"/>
    </xf>
    <xf numFmtId="38" fontId="9" fillId="0" borderId="77" xfId="1" applyFont="1" applyFill="1" applyBorder="1" applyAlignment="1">
      <alignment horizontal="right" vertical="center" shrinkToFit="1"/>
    </xf>
    <xf numFmtId="38" fontId="9" fillId="0" borderId="22" xfId="1" applyFont="1" applyFill="1" applyBorder="1" applyAlignment="1">
      <alignment horizontal="right" vertical="center" shrinkToFit="1"/>
    </xf>
    <xf numFmtId="38" fontId="9" fillId="0" borderId="143" xfId="1" applyFont="1" applyFill="1" applyBorder="1" applyAlignment="1">
      <alignment horizontal="right" vertical="center"/>
    </xf>
    <xf numFmtId="177" fontId="10" fillId="0" borderId="130" xfId="0" applyNumberFormat="1" applyFont="1" applyBorder="1" applyAlignment="1">
      <alignment horizontal="center" vertical="center"/>
    </xf>
    <xf numFmtId="38" fontId="9" fillId="0" borderId="76" xfId="1" applyFont="1" applyFill="1" applyBorder="1" applyAlignment="1">
      <alignment vertical="center" shrinkToFit="1"/>
    </xf>
    <xf numFmtId="38" fontId="10" fillId="0" borderId="67" xfId="1" applyFont="1" applyFill="1" applyBorder="1" applyAlignment="1">
      <alignment vertical="center" shrinkToFit="1"/>
    </xf>
    <xf numFmtId="38" fontId="2" fillId="0" borderId="96" xfId="1" applyFont="1" applyFill="1" applyBorder="1" applyAlignment="1">
      <alignment vertical="center" shrinkToFit="1"/>
    </xf>
    <xf numFmtId="38" fontId="2" fillId="0" borderId="13" xfId="1" applyFont="1" applyFill="1" applyBorder="1" applyAlignment="1">
      <alignment vertical="center" shrinkToFit="1"/>
    </xf>
    <xf numFmtId="38" fontId="2" fillId="0" borderId="58" xfId="1" applyFont="1" applyFill="1" applyBorder="1" applyAlignment="1">
      <alignment vertical="center" shrinkToFit="1"/>
    </xf>
    <xf numFmtId="0" fontId="4" fillId="0" borderId="138" xfId="0" applyFont="1" applyBorder="1" applyAlignment="1">
      <alignment horizontal="center" vertical="center"/>
    </xf>
    <xf numFmtId="38" fontId="10" fillId="0" borderId="82" xfId="1" applyFont="1" applyFill="1" applyBorder="1" applyAlignment="1">
      <alignment horizontal="center" vertical="center" shrinkToFit="1"/>
    </xf>
    <xf numFmtId="38" fontId="6" fillId="0" borderId="76" xfId="1" applyFont="1" applyBorder="1">
      <alignment vertical="center"/>
    </xf>
    <xf numFmtId="38" fontId="6" fillId="0" borderId="77" xfId="1" applyFont="1" applyBorder="1">
      <alignment vertical="center"/>
    </xf>
    <xf numFmtId="38" fontId="6" fillId="0" borderId="22" xfId="1" applyFont="1" applyBorder="1">
      <alignment vertical="center"/>
    </xf>
    <xf numFmtId="38" fontId="2" fillId="0" borderId="111" xfId="1" applyFont="1" applyFill="1" applyBorder="1" applyAlignment="1">
      <alignment vertical="center" shrinkToFit="1"/>
    </xf>
    <xf numFmtId="38" fontId="2" fillId="0" borderId="32" xfId="1" applyFont="1" applyFill="1" applyBorder="1" applyAlignment="1">
      <alignment vertical="center" shrinkToFit="1"/>
    </xf>
    <xf numFmtId="38" fontId="2" fillId="0" borderId="84" xfId="1" applyFont="1" applyFill="1" applyBorder="1" applyAlignment="1">
      <alignment vertical="center" shrinkToFit="1"/>
    </xf>
    <xf numFmtId="38" fontId="10" fillId="0" borderId="81" xfId="1" applyFont="1" applyFill="1" applyBorder="1" applyAlignment="1">
      <alignment horizontal="center" vertical="center" shrinkToFit="1"/>
    </xf>
    <xf numFmtId="38" fontId="2" fillId="0" borderId="84" xfId="1" applyFont="1" applyFill="1" applyBorder="1">
      <alignment vertical="center"/>
    </xf>
    <xf numFmtId="38" fontId="2" fillId="0" borderId="38" xfId="1" applyFont="1" applyFill="1" applyBorder="1">
      <alignment vertical="center"/>
    </xf>
    <xf numFmtId="38" fontId="2" fillId="0" borderId="58" xfId="1" applyFont="1" applyFill="1" applyBorder="1">
      <alignment vertical="center"/>
    </xf>
    <xf numFmtId="38" fontId="2" fillId="0" borderId="148" xfId="1" applyFont="1" applyFill="1" applyBorder="1">
      <alignment vertical="center"/>
    </xf>
    <xf numFmtId="38" fontId="9" fillId="0" borderId="4" xfId="1" applyFont="1" applyFill="1" applyBorder="1" applyAlignment="1">
      <alignment horizontal="right" vertical="center"/>
    </xf>
    <xf numFmtId="38" fontId="9" fillId="0" borderId="43" xfId="1" applyFont="1" applyFill="1" applyBorder="1" applyAlignment="1">
      <alignment horizontal="right" vertical="center"/>
    </xf>
    <xf numFmtId="38" fontId="4" fillId="0" borderId="38" xfId="1" applyFont="1" applyFill="1" applyBorder="1">
      <alignment vertical="center"/>
    </xf>
    <xf numFmtId="177" fontId="10" fillId="0" borderId="151" xfId="0" applyNumberFormat="1" applyFont="1" applyBorder="1" applyAlignment="1">
      <alignment horizontal="center" vertical="center"/>
    </xf>
    <xf numFmtId="178" fontId="10" fillId="0" borderId="113" xfId="0" applyNumberFormat="1" applyFont="1" applyBorder="1" applyAlignment="1">
      <alignment horizontal="center" vertical="center"/>
    </xf>
    <xf numFmtId="6" fontId="6" fillId="0" borderId="142" xfId="2" applyFont="1" applyFill="1" applyBorder="1">
      <alignment vertical="center"/>
    </xf>
    <xf numFmtId="178" fontId="10" fillId="0" borderId="22" xfId="0" applyNumberFormat="1" applyFont="1" applyBorder="1" applyAlignment="1">
      <alignment horizontal="center" vertical="center"/>
    </xf>
    <xf numFmtId="38" fontId="6" fillId="0" borderId="22" xfId="1" applyFont="1" applyFill="1" applyBorder="1" applyAlignment="1">
      <alignment horizontal="right" vertical="center"/>
    </xf>
    <xf numFmtId="38" fontId="9" fillId="0" borderId="116" xfId="1" applyFont="1" applyFill="1" applyBorder="1" applyAlignment="1">
      <alignment horizontal="right" vertical="center"/>
    </xf>
    <xf numFmtId="38" fontId="9" fillId="0" borderId="142" xfId="1" applyFont="1" applyFill="1" applyBorder="1" applyAlignment="1">
      <alignment horizontal="right" vertical="center"/>
    </xf>
    <xf numFmtId="38" fontId="9" fillId="0" borderId="67" xfId="1" applyFont="1" applyFill="1" applyBorder="1" applyAlignment="1">
      <alignment horizontal="right" vertical="center"/>
    </xf>
    <xf numFmtId="38" fontId="2" fillId="0" borderId="40" xfId="1" applyFont="1" applyFill="1" applyBorder="1">
      <alignment vertical="center"/>
    </xf>
    <xf numFmtId="38" fontId="9" fillId="0" borderId="19" xfId="1" applyFont="1" applyFill="1" applyBorder="1" applyAlignment="1">
      <alignment horizontal="right" vertical="center"/>
    </xf>
    <xf numFmtId="0" fontId="0" fillId="0" borderId="9" xfId="0" applyBorder="1" applyAlignment="1">
      <alignment horizontal="left" vertical="center" wrapText="1" shrinkToFit="1"/>
    </xf>
    <xf numFmtId="178" fontId="7" fillId="0" borderId="116" xfId="1" applyNumberFormat="1" applyFont="1" applyFill="1" applyBorder="1" applyAlignment="1">
      <alignment horizontal="left" vertical="center" shrinkToFit="1"/>
    </xf>
    <xf numFmtId="178" fontId="7" fillId="0" borderId="40" xfId="1" applyNumberFormat="1" applyFont="1" applyFill="1" applyBorder="1" applyAlignment="1">
      <alignment horizontal="left" vertical="center" shrinkToFit="1"/>
    </xf>
    <xf numFmtId="0" fontId="0" fillId="0" borderId="8" xfId="0" applyBorder="1" applyAlignment="1">
      <alignment horizontal="left" vertical="center" wrapText="1" shrinkToFit="1"/>
    </xf>
    <xf numFmtId="38" fontId="9" fillId="0" borderId="47" xfId="1" applyFont="1" applyFill="1" applyBorder="1" applyAlignment="1">
      <alignment horizontal="right" vertical="center"/>
    </xf>
    <xf numFmtId="38" fontId="0" fillId="0" borderId="0" xfId="1" applyFont="1">
      <alignment vertical="center"/>
    </xf>
    <xf numFmtId="6" fontId="0" fillId="0" borderId="0" xfId="2" applyFont="1" applyAlignment="1"/>
    <xf numFmtId="6" fontId="4" fillId="0" borderId="0" xfId="2" applyFont="1">
      <alignment vertical="center"/>
    </xf>
    <xf numFmtId="176" fontId="0" fillId="0" borderId="0" xfId="3" applyNumberFormat="1" applyFont="1">
      <alignment vertical="center"/>
    </xf>
    <xf numFmtId="38" fontId="0" fillId="0" borderId="13" xfId="1" applyFont="1" applyBorder="1" applyAlignment="1">
      <alignment horizontal="center" vertical="center" shrinkToFit="1"/>
    </xf>
    <xf numFmtId="38" fontId="0" fillId="0" borderId="14" xfId="1" applyFont="1" applyBorder="1" applyAlignment="1">
      <alignment horizontal="center" vertical="center" shrinkToFit="1"/>
    </xf>
    <xf numFmtId="176" fontId="0" fillId="0" borderId="0" xfId="3" applyNumberFormat="1" applyFont="1" applyAlignment="1">
      <alignment horizontal="center" vertical="center" shrinkToFit="1"/>
    </xf>
    <xf numFmtId="38" fontId="0" fillId="0" borderId="0" xfId="1" applyFont="1" applyAlignment="1">
      <alignment horizontal="center" vertical="center" shrinkToFit="1"/>
    </xf>
    <xf numFmtId="177" fontId="4" fillId="0" borderId="89" xfId="0" applyNumberFormat="1" applyFont="1" applyBorder="1" applyAlignment="1">
      <alignment horizontal="center" vertical="center"/>
    </xf>
    <xf numFmtId="178" fontId="0" fillId="0" borderId="46" xfId="0" applyNumberFormat="1" applyBorder="1" applyAlignment="1">
      <alignment horizontal="center" vertical="center"/>
    </xf>
    <xf numFmtId="38" fontId="6" fillId="0" borderId="153" xfId="1" applyFont="1" applyBorder="1">
      <alignment vertical="center"/>
    </xf>
    <xf numFmtId="38" fontId="6" fillId="0" borderId="27" xfId="1" applyFont="1" applyBorder="1">
      <alignment vertical="center"/>
    </xf>
    <xf numFmtId="178" fontId="7" fillId="0" borderId="27" xfId="1" applyNumberFormat="1" applyFont="1" applyBorder="1" applyAlignment="1">
      <alignment vertical="center" shrinkToFit="1"/>
    </xf>
    <xf numFmtId="182" fontId="4" fillId="0" borderId="28" xfId="1" applyNumberFormat="1" applyFont="1" applyBorder="1" applyAlignment="1">
      <alignment horizontal="right" vertical="center" shrinkToFit="1"/>
    </xf>
    <xf numFmtId="182" fontId="4" fillId="0" borderId="28" xfId="2" applyNumberFormat="1" applyFont="1" applyBorder="1" applyAlignment="1">
      <alignment horizontal="right" vertical="center"/>
    </xf>
    <xf numFmtId="176" fontId="0" fillId="0" borderId="29" xfId="3" applyNumberFormat="1" applyFont="1" applyBorder="1" applyAlignment="1">
      <alignment horizontal="right" vertical="center"/>
    </xf>
    <xf numFmtId="177" fontId="4" fillId="0" borderId="29" xfId="0" applyNumberFormat="1" applyFont="1" applyBorder="1" applyAlignment="1">
      <alignment horizontal="center" vertical="center"/>
    </xf>
    <xf numFmtId="38" fontId="6" fillId="0" borderId="21" xfId="1" applyFont="1" applyBorder="1">
      <alignment vertical="center"/>
    </xf>
    <xf numFmtId="38" fontId="6" fillId="0" borderId="153" xfId="1" applyFont="1" applyFill="1" applyBorder="1">
      <alignment vertical="center"/>
    </xf>
    <xf numFmtId="38" fontId="6" fillId="0" borderId="27" xfId="1" applyFont="1" applyFill="1" applyBorder="1">
      <alignment vertical="center"/>
    </xf>
    <xf numFmtId="178" fontId="7" fillId="0" borderId="36" xfId="1" applyNumberFormat="1" applyFont="1" applyBorder="1" applyAlignment="1">
      <alignment vertical="center" wrapText="1" shrinkToFit="1"/>
    </xf>
    <xf numFmtId="182" fontId="4" fillId="0" borderId="36" xfId="1" applyNumberFormat="1" applyFont="1" applyBorder="1" applyAlignment="1">
      <alignment vertical="center" wrapText="1" shrinkToFit="1"/>
    </xf>
    <xf numFmtId="182" fontId="4" fillId="0" borderId="36" xfId="1" applyNumberFormat="1" applyFont="1" applyBorder="1" applyAlignment="1">
      <alignment vertical="center"/>
    </xf>
    <xf numFmtId="38" fontId="6" fillId="0" borderId="31" xfId="1" applyFont="1" applyBorder="1">
      <alignment vertical="center"/>
    </xf>
    <xf numFmtId="38" fontId="6" fillId="0" borderId="33" xfId="1" applyFont="1" applyBorder="1">
      <alignment vertical="center"/>
    </xf>
    <xf numFmtId="38" fontId="6" fillId="0" borderId="35" xfId="1" applyFont="1" applyBorder="1">
      <alignment vertical="center"/>
    </xf>
    <xf numFmtId="178" fontId="7" fillId="0" borderId="30" xfId="1" applyNumberFormat="1" applyFont="1" applyBorder="1" applyAlignment="1">
      <alignment vertical="center" wrapText="1" shrinkToFit="1"/>
    </xf>
    <xf numFmtId="182" fontId="4" fillId="0" borderId="30" xfId="1" applyNumberFormat="1" applyFont="1" applyBorder="1" applyAlignment="1">
      <alignment vertical="center" wrapText="1" shrinkToFit="1"/>
    </xf>
    <xf numFmtId="182" fontId="4" fillId="0" borderId="35" xfId="1" applyNumberFormat="1" applyFont="1" applyBorder="1" applyAlignment="1">
      <alignment vertical="center"/>
    </xf>
    <xf numFmtId="38" fontId="6" fillId="6" borderId="31" xfId="1" applyFont="1" applyFill="1" applyBorder="1">
      <alignment vertical="center"/>
    </xf>
    <xf numFmtId="6" fontId="6" fillId="0" borderId="35" xfId="2" applyFont="1" applyFill="1" applyBorder="1">
      <alignment vertical="center"/>
    </xf>
    <xf numFmtId="182" fontId="4" fillId="0" borderId="30" xfId="1" applyNumberFormat="1" applyFont="1" applyFill="1" applyBorder="1" applyAlignment="1">
      <alignment vertical="center" shrinkToFit="1"/>
    </xf>
    <xf numFmtId="182" fontId="4" fillId="0" borderId="35" xfId="2" applyNumberFormat="1" applyFont="1" applyFill="1" applyBorder="1">
      <alignment vertical="center"/>
    </xf>
    <xf numFmtId="38" fontId="6" fillId="6" borderId="33" xfId="1" applyFont="1" applyFill="1" applyBorder="1">
      <alignment vertical="center"/>
    </xf>
    <xf numFmtId="179" fontId="1" fillId="5" borderId="91" xfId="0" applyNumberFormat="1" applyFont="1" applyFill="1" applyBorder="1">
      <alignment vertical="center"/>
    </xf>
    <xf numFmtId="179" fontId="1" fillId="5" borderId="31" xfId="0" applyNumberFormat="1" applyFont="1" applyFill="1" applyBorder="1">
      <alignment vertical="center"/>
    </xf>
    <xf numFmtId="179" fontId="1" fillId="5" borderId="33" xfId="0" applyNumberFormat="1" applyFont="1" applyFill="1" applyBorder="1">
      <alignment vertical="center"/>
    </xf>
    <xf numFmtId="182" fontId="1" fillId="5" borderId="35" xfId="0" applyNumberFormat="1" applyFont="1" applyFill="1" applyBorder="1">
      <alignment vertical="center"/>
    </xf>
    <xf numFmtId="0" fontId="0" fillId="5" borderId="35" xfId="0" applyFill="1" applyBorder="1" applyAlignment="1">
      <alignment vertical="center" shrinkToFit="1"/>
    </xf>
    <xf numFmtId="182" fontId="4" fillId="5" borderId="35" xfId="1" applyNumberFormat="1" applyFont="1" applyFill="1" applyBorder="1" applyAlignment="1">
      <alignment vertical="center" shrinkToFit="1"/>
    </xf>
    <xf numFmtId="182" fontId="4" fillId="5" borderId="35" xfId="0" applyNumberFormat="1" applyFont="1" applyFill="1" applyBorder="1" applyAlignment="1">
      <alignment vertical="center" shrinkToFit="1"/>
    </xf>
    <xf numFmtId="179" fontId="6" fillId="5" borderId="31" xfId="0" applyNumberFormat="1" applyFont="1" applyFill="1" applyBorder="1">
      <alignment vertical="center"/>
    </xf>
    <xf numFmtId="183" fontId="6" fillId="5" borderId="31" xfId="0" applyNumberFormat="1" applyFont="1" applyFill="1" applyBorder="1">
      <alignment vertical="center"/>
    </xf>
    <xf numFmtId="0" fontId="0" fillId="5" borderId="30" xfId="0" applyFill="1" applyBorder="1" applyAlignment="1">
      <alignment vertical="center" shrinkToFit="1"/>
    </xf>
    <xf numFmtId="183" fontId="6" fillId="5" borderId="33" xfId="0" applyNumberFormat="1" applyFont="1" applyFill="1" applyBorder="1">
      <alignment vertical="center"/>
    </xf>
    <xf numFmtId="183" fontId="6" fillId="0" borderId="3" xfId="0" applyNumberFormat="1" applyFont="1" applyBorder="1">
      <alignment vertical="center"/>
    </xf>
    <xf numFmtId="6" fontId="6" fillId="0" borderId="10" xfId="2" applyFont="1" applyFill="1" applyBorder="1">
      <alignment vertical="center"/>
    </xf>
    <xf numFmtId="0" fontId="0" fillId="5" borderId="2" xfId="0" applyFill="1" applyBorder="1" applyAlignment="1">
      <alignment vertical="center" shrinkToFit="1"/>
    </xf>
    <xf numFmtId="183" fontId="6" fillId="0" borderId="43" xfId="0" applyNumberFormat="1" applyFont="1" applyBorder="1">
      <alignment vertical="center"/>
    </xf>
    <xf numFmtId="38" fontId="6" fillId="0" borderId="87" xfId="1" applyFont="1" applyFill="1" applyBorder="1">
      <alignment vertical="center"/>
    </xf>
    <xf numFmtId="6" fontId="6" fillId="0" borderId="64" xfId="2" applyFont="1" applyFill="1" applyBorder="1">
      <alignment vertical="center"/>
    </xf>
    <xf numFmtId="0" fontId="0" fillId="5" borderId="45" xfId="0" applyFill="1" applyBorder="1" applyAlignment="1">
      <alignment vertical="center" shrinkToFit="1"/>
    </xf>
    <xf numFmtId="182" fontId="4" fillId="5" borderId="36" xfId="0" applyNumberFormat="1" applyFont="1" applyFill="1" applyBorder="1" applyAlignment="1">
      <alignment horizontal="center" vertical="center" shrinkToFit="1"/>
    </xf>
    <xf numFmtId="182" fontId="4" fillId="0" borderId="36" xfId="2" applyNumberFormat="1" applyFont="1" applyFill="1" applyBorder="1" applyAlignment="1">
      <alignment horizontal="right" vertical="center"/>
    </xf>
    <xf numFmtId="183" fontId="6" fillId="0" borderId="21" xfId="0" applyNumberFormat="1" applyFont="1" applyBorder="1">
      <alignment vertical="center"/>
    </xf>
    <xf numFmtId="38" fontId="6" fillId="0" borderId="0" xfId="1" applyFont="1" applyFill="1" applyBorder="1">
      <alignment vertical="center"/>
    </xf>
    <xf numFmtId="6" fontId="6" fillId="0" borderId="27" xfId="2" applyFont="1" applyFill="1" applyBorder="1">
      <alignment vertical="center"/>
    </xf>
    <xf numFmtId="0" fontId="0" fillId="5" borderId="40" xfId="0" applyFill="1" applyBorder="1" applyAlignment="1">
      <alignment vertical="center" shrinkToFit="1"/>
    </xf>
    <xf numFmtId="182" fontId="4" fillId="5" borderId="28" xfId="0" applyNumberFormat="1" applyFont="1" applyFill="1" applyBorder="1" applyAlignment="1">
      <alignment horizontal="center" vertical="center" shrinkToFit="1"/>
    </xf>
    <xf numFmtId="182" fontId="4" fillId="0" borderId="28" xfId="2" applyNumberFormat="1" applyFont="1" applyFill="1" applyBorder="1" applyAlignment="1">
      <alignment horizontal="right" vertical="center"/>
    </xf>
    <xf numFmtId="176" fontId="0" fillId="0" borderId="0" xfId="3" applyNumberFormat="1" applyFont="1" applyBorder="1" applyAlignment="1">
      <alignment horizontal="right" vertical="center"/>
    </xf>
    <xf numFmtId="0" fontId="0" fillId="0" borderId="32" xfId="0" applyBorder="1" applyAlignment="1">
      <alignment horizontal="center" vertical="center" shrinkToFit="1"/>
    </xf>
    <xf numFmtId="38" fontId="2" fillId="0" borderId="32" xfId="1" applyFont="1" applyBorder="1">
      <alignment vertical="center"/>
    </xf>
    <xf numFmtId="38" fontId="2" fillId="0" borderId="154" xfId="1" applyFont="1" applyBorder="1">
      <alignment vertical="center"/>
    </xf>
    <xf numFmtId="6" fontId="2" fillId="0" borderId="50" xfId="2" applyFont="1" applyBorder="1">
      <alignment vertical="center"/>
    </xf>
    <xf numFmtId="38" fontId="7" fillId="0" borderId="49" xfId="1" applyFont="1" applyBorder="1" applyAlignment="1">
      <alignment vertical="center" shrinkToFit="1"/>
    </xf>
    <xf numFmtId="182" fontId="4" fillId="0" borderId="49" xfId="1" applyNumberFormat="1" applyFont="1" applyBorder="1" applyAlignment="1">
      <alignment vertical="center" shrinkToFit="1"/>
    </xf>
    <xf numFmtId="182" fontId="4" fillId="0" borderId="50" xfId="2" applyNumberFormat="1" applyFont="1" applyBorder="1">
      <alignment vertical="center"/>
    </xf>
    <xf numFmtId="6" fontId="0" fillId="0" borderId="0" xfId="2" applyFont="1">
      <alignment vertical="center"/>
    </xf>
    <xf numFmtId="0" fontId="0" fillId="0" borderId="23" xfId="0" applyBorder="1" applyAlignment="1">
      <alignment horizontal="center" vertical="center"/>
    </xf>
    <xf numFmtId="38" fontId="2" fillId="0" borderId="23" xfId="1" applyFont="1" applyBorder="1">
      <alignment vertical="center"/>
    </xf>
    <xf numFmtId="38" fontId="2" fillId="0" borderId="24" xfId="1" applyFont="1" applyBorder="1">
      <alignment vertical="center"/>
    </xf>
    <xf numFmtId="6" fontId="2" fillId="0" borderId="52" xfId="2" applyFont="1" applyBorder="1">
      <alignment vertical="center"/>
    </xf>
    <xf numFmtId="38" fontId="7" fillId="0" borderId="51" xfId="1" applyFont="1" applyBorder="1" applyAlignment="1">
      <alignment vertical="center" shrinkToFit="1"/>
    </xf>
    <xf numFmtId="182" fontId="4" fillId="0" borderId="51" xfId="1" applyNumberFormat="1" applyFont="1" applyBorder="1" applyAlignment="1">
      <alignment vertical="center" shrinkToFit="1"/>
    </xf>
    <xf numFmtId="182" fontId="4" fillId="0" borderId="52" xfId="2" applyNumberFormat="1" applyFont="1" applyBorder="1">
      <alignment vertical="center"/>
    </xf>
    <xf numFmtId="0" fontId="0" fillId="0" borderId="23" xfId="0" applyBorder="1" applyAlignment="1">
      <alignment horizontal="center" vertical="center" shrinkToFit="1"/>
    </xf>
    <xf numFmtId="38" fontId="2" fillId="0" borderId="23" xfId="1" applyFont="1" applyFill="1" applyBorder="1">
      <alignment vertical="center"/>
    </xf>
    <xf numFmtId="38" fontId="2" fillId="0" borderId="24" xfId="1" applyFont="1" applyFill="1" applyBorder="1">
      <alignment vertical="center"/>
    </xf>
    <xf numFmtId="6" fontId="2" fillId="0" borderId="52" xfId="2" applyFont="1" applyFill="1" applyBorder="1">
      <alignment vertical="center"/>
    </xf>
    <xf numFmtId="38" fontId="9" fillId="0" borderId="51" xfId="1" applyFont="1" applyBorder="1" applyAlignment="1">
      <alignment vertical="center" shrinkToFit="1"/>
    </xf>
    <xf numFmtId="38" fontId="2" fillId="0" borderId="14" xfId="1" applyFont="1" applyFill="1" applyBorder="1">
      <alignment vertical="center"/>
    </xf>
    <xf numFmtId="6" fontId="2" fillId="0" borderId="19" xfId="2" applyFont="1" applyFill="1" applyBorder="1">
      <alignment vertical="center"/>
    </xf>
    <xf numFmtId="38" fontId="7" fillId="0" borderId="17" xfId="1" applyFont="1" applyFill="1" applyBorder="1" applyAlignment="1">
      <alignment vertical="center" shrinkToFit="1"/>
    </xf>
    <xf numFmtId="182" fontId="4" fillId="0" borderId="17" xfId="1" applyNumberFormat="1" applyFont="1" applyFill="1" applyBorder="1" applyAlignment="1">
      <alignment vertical="center" shrinkToFit="1"/>
    </xf>
    <xf numFmtId="182" fontId="4" fillId="0" borderId="19" xfId="2" applyNumberFormat="1" applyFont="1" applyFill="1" applyBorder="1">
      <alignment vertical="center"/>
    </xf>
    <xf numFmtId="6" fontId="2" fillId="0" borderId="46" xfId="1" applyNumberFormat="1" applyFont="1" applyBorder="1">
      <alignment vertical="center"/>
    </xf>
    <xf numFmtId="6" fontId="2" fillId="0" borderId="59" xfId="1" applyNumberFormat="1" applyFont="1" applyBorder="1">
      <alignment vertical="center"/>
    </xf>
    <xf numFmtId="6" fontId="2" fillId="0" borderId="28" xfId="1" applyNumberFormat="1" applyFont="1" applyBorder="1">
      <alignment vertical="center"/>
    </xf>
    <xf numFmtId="38" fontId="7" fillId="0" borderId="40" xfId="1" applyFont="1" applyBorder="1" applyAlignment="1">
      <alignment vertical="center" shrinkToFit="1"/>
    </xf>
    <xf numFmtId="182" fontId="4" fillId="0" borderId="40" xfId="1" applyNumberFormat="1" applyFont="1" applyBorder="1" applyAlignment="1">
      <alignment vertical="center" shrinkToFit="1"/>
    </xf>
    <xf numFmtId="182" fontId="4" fillId="0" borderId="28" xfId="2" applyNumberFormat="1" applyFont="1" applyBorder="1">
      <alignment vertical="center"/>
    </xf>
    <xf numFmtId="38" fontId="0" fillId="0" borderId="0" xfId="1" applyFont="1" applyAlignment="1">
      <alignment horizontal="center" vertical="center"/>
    </xf>
    <xf numFmtId="6" fontId="2" fillId="0" borderId="0" xfId="2" applyFont="1" applyAlignment="1">
      <alignment horizontal="right" vertical="center"/>
    </xf>
    <xf numFmtId="38" fontId="6" fillId="0" borderId="47" xfId="1" applyFont="1" applyBorder="1">
      <alignment vertical="center"/>
    </xf>
    <xf numFmtId="179" fontId="6" fillId="5" borderId="4" xfId="0" applyNumberFormat="1" applyFont="1" applyFill="1" applyBorder="1">
      <alignment vertical="center"/>
    </xf>
    <xf numFmtId="183" fontId="6" fillId="5" borderId="4" xfId="0" applyNumberFormat="1" applyFont="1" applyFill="1" applyBorder="1">
      <alignment vertical="center"/>
    </xf>
    <xf numFmtId="38" fontId="6" fillId="0" borderId="86" xfId="1" applyFont="1" applyFill="1" applyBorder="1">
      <alignment vertical="center"/>
    </xf>
    <xf numFmtId="179" fontId="6" fillId="5" borderId="43" xfId="0" applyNumberFormat="1" applyFont="1" applyFill="1" applyBorder="1">
      <alignment vertical="center"/>
    </xf>
    <xf numFmtId="183" fontId="6" fillId="5" borderId="43" xfId="0" applyNumberFormat="1" applyFont="1" applyFill="1" applyBorder="1">
      <alignment vertical="center"/>
    </xf>
    <xf numFmtId="179" fontId="6" fillId="5" borderId="22" xfId="0" applyNumberFormat="1" applyFont="1" applyFill="1" applyBorder="1">
      <alignment vertical="center"/>
    </xf>
    <xf numFmtId="183" fontId="6" fillId="5" borderId="22" xfId="0" applyNumberFormat="1" applyFont="1" applyFill="1" applyBorder="1">
      <alignment vertical="center"/>
    </xf>
    <xf numFmtId="38" fontId="6" fillId="0" borderId="155" xfId="1" applyFont="1" applyFill="1" applyBorder="1">
      <alignment vertical="center"/>
    </xf>
    <xf numFmtId="179" fontId="6" fillId="5" borderId="46" xfId="0" applyNumberFormat="1" applyFont="1" applyFill="1" applyBorder="1">
      <alignment vertical="center"/>
    </xf>
    <xf numFmtId="6" fontId="6" fillId="0" borderId="28" xfId="2" applyFont="1" applyFill="1" applyBorder="1">
      <alignment vertical="center"/>
    </xf>
    <xf numFmtId="38" fontId="2" fillId="0" borderId="57" xfId="1" applyFont="1" applyBorder="1">
      <alignment vertical="center"/>
    </xf>
    <xf numFmtId="38" fontId="2" fillId="0" borderId="80" xfId="1" applyFont="1" applyBorder="1">
      <alignment vertical="center"/>
    </xf>
    <xf numFmtId="38" fontId="2" fillId="0" borderId="52" xfId="1" applyFont="1" applyBorder="1">
      <alignment vertical="center"/>
    </xf>
    <xf numFmtId="38" fontId="2" fillId="0" borderId="52" xfId="1" applyFont="1" applyFill="1" applyBorder="1">
      <alignment vertical="center"/>
    </xf>
    <xf numFmtId="38" fontId="2" fillId="0" borderId="19" xfId="1" applyFont="1" applyFill="1" applyBorder="1">
      <alignment vertical="center"/>
    </xf>
    <xf numFmtId="184" fontId="6" fillId="0" borderId="0" xfId="1" applyNumberFormat="1" applyFont="1">
      <alignment vertical="center"/>
    </xf>
    <xf numFmtId="6" fontId="9" fillId="0" borderId="0" xfId="2" applyFont="1" applyAlignment="1">
      <alignment horizontal="right" vertical="center"/>
    </xf>
    <xf numFmtId="38" fontId="6" fillId="0" borderId="156" xfId="1" applyFont="1" applyFill="1" applyBorder="1">
      <alignment vertical="center"/>
    </xf>
    <xf numFmtId="6" fontId="6" fillId="0" borderId="85" xfId="2" applyFont="1" applyFill="1" applyBorder="1">
      <alignment vertical="center"/>
    </xf>
    <xf numFmtId="182" fontId="4" fillId="0" borderId="28" xfId="1" applyNumberFormat="1" applyFont="1" applyFill="1" applyBorder="1" applyAlignment="1">
      <alignment horizontal="right" vertical="center" shrinkToFit="1"/>
    </xf>
    <xf numFmtId="38" fontId="6" fillId="0" borderId="154" xfId="1" applyFont="1" applyFill="1" applyBorder="1">
      <alignment vertical="center"/>
    </xf>
    <xf numFmtId="6" fontId="6" fillId="0" borderId="34" xfId="1" applyNumberFormat="1" applyFont="1" applyFill="1" applyBorder="1">
      <alignment vertical="center"/>
    </xf>
    <xf numFmtId="6" fontId="8" fillId="0" borderId="35" xfId="1" applyNumberFormat="1" applyFont="1" applyFill="1" applyBorder="1">
      <alignment vertical="center"/>
    </xf>
    <xf numFmtId="38" fontId="9" fillId="0" borderId="33" xfId="1" applyFont="1" applyBorder="1">
      <alignment vertical="center"/>
    </xf>
    <xf numFmtId="38" fontId="9" fillId="0" borderId="38" xfId="1" applyFont="1" applyBorder="1">
      <alignment vertical="center"/>
    </xf>
    <xf numFmtId="38" fontId="9" fillId="6" borderId="31" xfId="1" applyFont="1" applyFill="1" applyBorder="1">
      <alignment vertical="center"/>
    </xf>
    <xf numFmtId="6" fontId="9" fillId="0" borderId="38" xfId="2" applyFont="1" applyFill="1" applyBorder="1">
      <alignment vertical="center"/>
    </xf>
    <xf numFmtId="179" fontId="9" fillId="5" borderId="37" xfId="0" applyNumberFormat="1" applyFont="1" applyFill="1" applyBorder="1" applyAlignment="1">
      <alignment horizontal="right" vertical="center"/>
    </xf>
    <xf numFmtId="179" fontId="9" fillId="5" borderId="31" xfId="0" applyNumberFormat="1" applyFont="1" applyFill="1" applyBorder="1">
      <alignment vertical="center"/>
    </xf>
    <xf numFmtId="182" fontId="9" fillId="5" borderId="38" xfId="0" applyNumberFormat="1" applyFont="1" applyFill="1" applyBorder="1">
      <alignment vertical="center"/>
    </xf>
    <xf numFmtId="179" fontId="9" fillId="5" borderId="37" xfId="0" applyNumberFormat="1" applyFont="1" applyFill="1" applyBorder="1">
      <alignment vertical="center"/>
    </xf>
    <xf numFmtId="183" fontId="9" fillId="5" borderId="31" xfId="0" applyNumberFormat="1" applyFont="1" applyFill="1" applyBorder="1">
      <alignment vertical="center"/>
    </xf>
    <xf numFmtId="38" fontId="9" fillId="0" borderId="6" xfId="1" applyFont="1" applyFill="1" applyBorder="1">
      <alignment vertical="center"/>
    </xf>
    <xf numFmtId="179" fontId="6" fillId="0" borderId="3" xfId="0" applyNumberFormat="1" applyFont="1" applyBorder="1">
      <alignment vertical="center"/>
    </xf>
    <xf numFmtId="6" fontId="9" fillId="0" borderId="81" xfId="2" applyFont="1" applyFill="1" applyBorder="1">
      <alignment vertical="center"/>
    </xf>
    <xf numFmtId="179" fontId="6" fillId="0" borderId="43" xfId="0" applyNumberFormat="1" applyFont="1" applyBorder="1">
      <alignment vertical="center"/>
    </xf>
    <xf numFmtId="6" fontId="9" fillId="0" borderId="44" xfId="2" applyFont="1" applyFill="1" applyBorder="1">
      <alignment vertical="center"/>
    </xf>
    <xf numFmtId="179" fontId="6" fillId="0" borderId="46" xfId="0" applyNumberFormat="1" applyFont="1" applyBorder="1">
      <alignment vertical="center"/>
    </xf>
    <xf numFmtId="183" fontId="6" fillId="0" borderId="46" xfId="0" applyNumberFormat="1" applyFont="1" applyBorder="1">
      <alignment vertical="center"/>
    </xf>
    <xf numFmtId="38" fontId="9" fillId="0" borderId="21" xfId="1" applyFont="1" applyFill="1" applyBorder="1">
      <alignment vertical="center"/>
    </xf>
    <xf numFmtId="6" fontId="9" fillId="0" borderId="48" xfId="2" applyFont="1" applyFill="1" applyBorder="1">
      <alignment vertical="center"/>
    </xf>
    <xf numFmtId="0" fontId="0" fillId="5" borderId="29" xfId="0" applyFill="1" applyBorder="1" applyAlignment="1">
      <alignment vertical="center" shrinkToFit="1"/>
    </xf>
    <xf numFmtId="184" fontId="0" fillId="0" borderId="0" xfId="1" applyNumberFormat="1" applyFont="1">
      <alignment vertical="center"/>
    </xf>
    <xf numFmtId="38" fontId="6" fillId="0" borderId="157" xfId="1" applyFont="1" applyFill="1" applyBorder="1">
      <alignment vertical="center"/>
    </xf>
    <xf numFmtId="38" fontId="6" fillId="0" borderId="158" xfId="1" applyFont="1" applyFill="1" applyBorder="1">
      <alignment vertical="center"/>
    </xf>
    <xf numFmtId="182" fontId="4" fillId="0" borderId="36" xfId="1" applyNumberFormat="1" applyFont="1" applyFill="1" applyBorder="1" applyAlignment="1">
      <alignment vertical="center" wrapText="1" shrinkToFit="1"/>
    </xf>
    <xf numFmtId="182" fontId="4" fillId="0" borderId="36" xfId="1" applyNumberFormat="1" applyFont="1" applyFill="1" applyBorder="1" applyAlignment="1">
      <alignment vertical="center"/>
    </xf>
    <xf numFmtId="6" fontId="9" fillId="0" borderId="35" xfId="2" applyFont="1" applyFill="1" applyBorder="1">
      <alignment vertical="center"/>
    </xf>
    <xf numFmtId="179" fontId="1" fillId="5" borderId="37" xfId="0" applyNumberFormat="1" applyFont="1" applyFill="1" applyBorder="1">
      <alignment vertical="center"/>
    </xf>
    <xf numFmtId="179" fontId="6" fillId="5" borderId="37" xfId="0" applyNumberFormat="1" applyFont="1" applyFill="1" applyBorder="1">
      <alignment vertical="center"/>
    </xf>
    <xf numFmtId="182" fontId="4" fillId="0" borderId="35" xfId="0" applyNumberFormat="1" applyFont="1" applyBorder="1" applyAlignment="1">
      <alignment vertical="center" shrinkToFit="1"/>
    </xf>
    <xf numFmtId="176" fontId="0" fillId="0" borderId="0" xfId="3" applyNumberFormat="1" applyFont="1" applyFill="1">
      <alignment vertical="center"/>
    </xf>
    <xf numFmtId="6" fontId="2" fillId="0" borderId="64" xfId="2" applyFont="1" applyFill="1" applyBorder="1">
      <alignment vertical="center"/>
    </xf>
    <xf numFmtId="182" fontId="4" fillId="0" borderId="55" xfId="1" applyNumberFormat="1" applyFont="1" applyBorder="1" applyAlignment="1">
      <alignment vertical="center" shrinkToFit="1"/>
    </xf>
    <xf numFmtId="6" fontId="6" fillId="0" borderId="27" xfId="2" applyFont="1" applyBorder="1">
      <alignment vertical="center"/>
    </xf>
    <xf numFmtId="179" fontId="6" fillId="0" borderId="31" xfId="0" applyNumberFormat="1" applyFont="1" applyBorder="1">
      <alignment vertical="center"/>
    </xf>
    <xf numFmtId="6" fontId="2" fillId="0" borderId="10" xfId="2" applyFont="1" applyBorder="1">
      <alignment vertical="center"/>
    </xf>
    <xf numFmtId="6" fontId="2" fillId="0" borderId="46" xfId="1" applyNumberFormat="1" applyFont="1" applyFill="1" applyBorder="1">
      <alignment vertical="center"/>
    </xf>
    <xf numFmtId="182" fontId="4" fillId="0" borderId="28" xfId="2" applyNumberFormat="1" applyFont="1" applyFill="1" applyBorder="1">
      <alignment vertical="center"/>
    </xf>
    <xf numFmtId="6" fontId="6" fillId="0" borderId="26" xfId="2" applyFont="1" applyFill="1" applyBorder="1">
      <alignment vertical="center"/>
    </xf>
    <xf numFmtId="182" fontId="4" fillId="0" borderId="159" xfId="1" applyNumberFormat="1" applyFont="1" applyFill="1" applyBorder="1" applyAlignment="1">
      <alignment vertical="center" shrinkToFit="1"/>
    </xf>
    <xf numFmtId="182" fontId="4" fillId="0" borderId="160" xfId="1" applyNumberFormat="1" applyFont="1" applyFill="1" applyBorder="1" applyAlignment="1">
      <alignment vertical="center" shrinkToFit="1"/>
    </xf>
    <xf numFmtId="38" fontId="9" fillId="0" borderId="146" xfId="1" applyFont="1" applyFill="1" applyBorder="1" applyAlignment="1">
      <alignment horizontal="right" vertical="center"/>
    </xf>
    <xf numFmtId="38" fontId="9" fillId="0" borderId="111" xfId="1" applyFont="1" applyFill="1" applyBorder="1" applyAlignment="1">
      <alignment horizontal="right" vertical="center" shrinkToFit="1"/>
    </xf>
    <xf numFmtId="38" fontId="9" fillId="0" borderId="32" xfId="1" applyFont="1" applyFill="1" applyBorder="1" applyAlignment="1">
      <alignment horizontal="right" vertical="center" shrinkToFit="1"/>
    </xf>
    <xf numFmtId="38" fontId="9" fillId="0" borderId="161" xfId="1" applyFont="1" applyFill="1" applyBorder="1" applyAlignment="1">
      <alignment horizontal="right" vertical="center"/>
    </xf>
    <xf numFmtId="38" fontId="10" fillId="0" borderId="162" xfId="1" applyFont="1" applyFill="1" applyBorder="1" applyAlignment="1">
      <alignment horizontal="center" vertical="center" shrinkToFit="1"/>
    </xf>
    <xf numFmtId="38" fontId="10" fillId="0" borderId="163" xfId="1" applyFont="1" applyFill="1" applyBorder="1" applyAlignment="1">
      <alignment horizontal="center" vertical="center" shrinkToFit="1"/>
    </xf>
    <xf numFmtId="38" fontId="9" fillId="0" borderId="166" xfId="1" applyFont="1" applyFill="1" applyBorder="1" applyAlignment="1">
      <alignment horizontal="right" vertical="center"/>
    </xf>
    <xf numFmtId="38" fontId="9" fillId="0" borderId="168" xfId="1" applyFont="1" applyFill="1" applyBorder="1" applyAlignment="1">
      <alignment horizontal="right" vertical="center"/>
    </xf>
    <xf numFmtId="38" fontId="9" fillId="0" borderId="169" xfId="1" applyFont="1" applyFill="1" applyBorder="1" applyAlignment="1">
      <alignment horizontal="right" vertical="center"/>
    </xf>
    <xf numFmtId="38" fontId="10" fillId="0" borderId="170" xfId="1" applyFont="1" applyFill="1" applyBorder="1" applyAlignment="1">
      <alignment vertical="center" shrinkToFit="1"/>
    </xf>
    <xf numFmtId="38" fontId="10" fillId="0" borderId="171" xfId="1" applyFont="1" applyFill="1" applyBorder="1" applyAlignment="1">
      <alignment vertical="center" shrinkToFit="1"/>
    </xf>
    <xf numFmtId="38" fontId="10" fillId="0" borderId="143" xfId="1" applyFont="1" applyFill="1" applyBorder="1" applyAlignment="1">
      <alignment vertical="center" shrinkToFit="1"/>
    </xf>
    <xf numFmtId="38" fontId="4" fillId="0" borderId="169" xfId="1" applyFont="1" applyFill="1" applyBorder="1">
      <alignment vertical="center"/>
    </xf>
    <xf numFmtId="38" fontId="2" fillId="0" borderId="168" xfId="1" applyFont="1" applyFill="1" applyBorder="1" applyAlignment="1">
      <alignment vertical="center" shrinkToFit="1"/>
    </xf>
    <xf numFmtId="38" fontId="2" fillId="0" borderId="172" xfId="1" applyFont="1" applyFill="1" applyBorder="1" applyAlignment="1">
      <alignment vertical="center" shrinkToFit="1"/>
    </xf>
    <xf numFmtId="38" fontId="2" fillId="0" borderId="173" xfId="1" applyFont="1" applyFill="1" applyBorder="1">
      <alignment vertical="center"/>
    </xf>
    <xf numFmtId="38" fontId="9" fillId="0" borderId="174" xfId="1" applyFont="1" applyFill="1" applyBorder="1" applyAlignment="1">
      <alignment horizontal="right" vertical="center"/>
    </xf>
    <xf numFmtId="38" fontId="7" fillId="0" borderId="0" xfId="1" applyFont="1" applyFill="1" applyBorder="1" applyAlignment="1">
      <alignment horizontal="right" vertical="center"/>
    </xf>
    <xf numFmtId="10" fontId="7" fillId="0" borderId="0" xfId="3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38" fontId="9" fillId="0" borderId="167" xfId="1" applyFont="1" applyFill="1" applyBorder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38" fontId="7" fillId="0" borderId="0" xfId="1" applyFont="1" applyAlignment="1">
      <alignment horizontal="center" vertical="center"/>
    </xf>
    <xf numFmtId="10" fontId="7" fillId="0" borderId="0" xfId="3" applyNumberFormat="1" applyFont="1" applyAlignment="1">
      <alignment horizontal="center" vertical="center"/>
    </xf>
    <xf numFmtId="10" fontId="7" fillId="0" borderId="0" xfId="3" applyNumberFormat="1" applyFont="1" applyFill="1" applyAlignment="1">
      <alignment horizontal="right" vertical="center"/>
    </xf>
    <xf numFmtId="38" fontId="7" fillId="0" borderId="0" xfId="1" applyFont="1" applyFill="1" applyBorder="1">
      <alignment vertical="center"/>
    </xf>
    <xf numFmtId="38" fontId="7" fillId="0" borderId="0" xfId="1" applyFont="1" applyFill="1">
      <alignment vertical="center"/>
    </xf>
    <xf numFmtId="10" fontId="7" fillId="0" borderId="0" xfId="3" applyNumberFormat="1" applyFont="1" applyFill="1">
      <alignment vertical="center"/>
    </xf>
    <xf numFmtId="38" fontId="7" fillId="0" borderId="0" xfId="1" applyFont="1" applyFill="1" applyAlignment="1">
      <alignment horizontal="right" vertical="center" wrapText="1"/>
    </xf>
    <xf numFmtId="38" fontId="9" fillId="0" borderId="175" xfId="1" applyFont="1" applyFill="1" applyBorder="1">
      <alignment vertical="center"/>
    </xf>
    <xf numFmtId="38" fontId="9" fillId="0" borderId="175" xfId="1" applyFont="1" applyFill="1" applyBorder="1" applyAlignment="1">
      <alignment horizontal="right" vertical="center"/>
    </xf>
    <xf numFmtId="179" fontId="9" fillId="0" borderId="175" xfId="0" applyNumberFormat="1" applyFont="1" applyBorder="1">
      <alignment vertical="center"/>
    </xf>
    <xf numFmtId="6" fontId="6" fillId="0" borderId="176" xfId="2" applyFont="1" applyFill="1" applyBorder="1">
      <alignment vertical="center"/>
    </xf>
    <xf numFmtId="38" fontId="18" fillId="0" borderId="177" xfId="1" applyFont="1" applyFill="1" applyBorder="1">
      <alignment vertical="center"/>
    </xf>
    <xf numFmtId="38" fontId="9" fillId="0" borderId="177" xfId="1" applyFont="1" applyFill="1" applyBorder="1" applyAlignment="1">
      <alignment horizontal="right" vertical="center"/>
    </xf>
    <xf numFmtId="38" fontId="9" fillId="0" borderId="177" xfId="1" applyFont="1" applyFill="1" applyBorder="1">
      <alignment vertical="center"/>
    </xf>
    <xf numFmtId="179" fontId="9" fillId="0" borderId="177" xfId="0" applyNumberFormat="1" applyFont="1" applyBorder="1">
      <alignment vertical="center"/>
    </xf>
    <xf numFmtId="6" fontId="6" fillId="0" borderId="178" xfId="2" applyFont="1" applyFill="1" applyBorder="1">
      <alignment vertical="center"/>
    </xf>
    <xf numFmtId="38" fontId="9" fillId="0" borderId="179" xfId="1" applyFont="1" applyFill="1" applyBorder="1">
      <alignment vertical="center"/>
    </xf>
    <xf numFmtId="6" fontId="6" fillId="0" borderId="180" xfId="2" applyFont="1" applyFill="1" applyBorder="1">
      <alignment vertical="center"/>
    </xf>
    <xf numFmtId="38" fontId="9" fillId="0" borderId="181" xfId="1" applyFont="1" applyFill="1" applyBorder="1">
      <alignment vertical="center"/>
    </xf>
    <xf numFmtId="38" fontId="9" fillId="0" borderId="182" xfId="1" applyFont="1" applyFill="1" applyBorder="1">
      <alignment vertical="center"/>
    </xf>
    <xf numFmtId="38" fontId="9" fillId="0" borderId="183" xfId="1" applyFont="1" applyFill="1" applyBorder="1">
      <alignment vertical="center"/>
    </xf>
    <xf numFmtId="177" fontId="10" fillId="0" borderId="187" xfId="0" applyNumberFormat="1" applyFont="1" applyBorder="1" applyAlignment="1">
      <alignment horizontal="center" vertical="center"/>
    </xf>
    <xf numFmtId="38" fontId="9" fillId="0" borderId="188" xfId="1" applyFont="1" applyFill="1" applyBorder="1">
      <alignment vertical="center"/>
    </xf>
    <xf numFmtId="38" fontId="9" fillId="0" borderId="189" xfId="1" applyFont="1" applyFill="1" applyBorder="1">
      <alignment vertical="center"/>
    </xf>
    <xf numFmtId="38" fontId="9" fillId="0" borderId="61" xfId="1" applyFont="1" applyFill="1" applyBorder="1">
      <alignment vertical="center"/>
    </xf>
    <xf numFmtId="179" fontId="9" fillId="0" borderId="61" xfId="0" applyNumberFormat="1" applyFont="1" applyBorder="1">
      <alignment vertical="center"/>
    </xf>
    <xf numFmtId="6" fontId="6" fillId="0" borderId="189" xfId="2" applyFont="1" applyFill="1" applyBorder="1">
      <alignment vertical="center"/>
    </xf>
    <xf numFmtId="0" fontId="0" fillId="0" borderId="61" xfId="0" applyBorder="1" applyAlignment="1">
      <alignment vertical="center" shrinkToFit="1"/>
    </xf>
    <xf numFmtId="38" fontId="9" fillId="0" borderId="61" xfId="1" applyFont="1" applyFill="1" applyBorder="1" applyAlignment="1">
      <alignment vertical="center" shrinkToFit="1"/>
    </xf>
    <xf numFmtId="38" fontId="10" fillId="0" borderId="133" xfId="1" applyFont="1" applyFill="1" applyBorder="1" applyAlignment="1">
      <alignment vertical="center" shrinkToFit="1"/>
    </xf>
    <xf numFmtId="38" fontId="9" fillId="0" borderId="190" xfId="1" applyFont="1" applyFill="1" applyBorder="1">
      <alignment vertical="center"/>
    </xf>
    <xf numFmtId="38" fontId="9" fillId="0" borderId="23" xfId="1" applyFont="1" applyFill="1" applyBorder="1" applyAlignment="1">
      <alignment vertical="center" shrinkToFit="1"/>
    </xf>
    <xf numFmtId="38" fontId="10" fillId="0" borderId="191" xfId="1" applyFont="1" applyFill="1" applyBorder="1" applyAlignment="1">
      <alignment vertical="center" shrinkToFit="1"/>
    </xf>
    <xf numFmtId="38" fontId="9" fillId="0" borderId="192" xfId="1" applyFont="1" applyFill="1" applyBorder="1" applyAlignment="1">
      <alignment horizontal="right" vertical="center"/>
    </xf>
    <xf numFmtId="38" fontId="9" fillId="0" borderId="22" xfId="1" applyFont="1" applyFill="1" applyBorder="1" applyAlignment="1">
      <alignment horizontal="right" vertical="center"/>
    </xf>
    <xf numFmtId="179" fontId="9" fillId="0" borderId="22" xfId="0" applyNumberFormat="1" applyFont="1" applyBorder="1">
      <alignment vertical="center"/>
    </xf>
    <xf numFmtId="6" fontId="6" fillId="0" borderId="22" xfId="2" applyFont="1" applyFill="1" applyBorder="1">
      <alignment vertical="center"/>
    </xf>
    <xf numFmtId="0" fontId="0" fillId="0" borderId="22" xfId="0" applyBorder="1" applyAlignment="1">
      <alignment vertical="center" shrinkToFit="1"/>
    </xf>
    <xf numFmtId="6" fontId="6" fillId="0" borderId="4" xfId="2" applyFont="1" applyFill="1" applyBorder="1">
      <alignment vertical="center"/>
    </xf>
    <xf numFmtId="0" fontId="0" fillId="0" borderId="4" xfId="0" applyBorder="1" applyAlignment="1">
      <alignment vertical="center" shrinkToFit="1"/>
    </xf>
    <xf numFmtId="178" fontId="7" fillId="0" borderId="40" xfId="1" applyNumberFormat="1" applyFont="1" applyFill="1" applyBorder="1" applyAlignment="1">
      <alignment vertical="center" wrapText="1" shrinkToFit="1"/>
    </xf>
    <xf numFmtId="38" fontId="9" fillId="0" borderId="165" xfId="1" applyFont="1" applyFill="1" applyBorder="1" applyAlignment="1">
      <alignment horizontal="right" vertical="center"/>
    </xf>
    <xf numFmtId="177" fontId="10" fillId="0" borderId="1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0" fillId="0" borderId="193" xfId="0" applyNumberFormat="1" applyFont="1" applyBorder="1" applyAlignment="1">
      <alignment horizontal="center" vertical="center"/>
    </xf>
    <xf numFmtId="38" fontId="9" fillId="0" borderId="0" xfId="1" applyFont="1" applyFill="1" applyBorder="1">
      <alignment vertical="center"/>
    </xf>
    <xf numFmtId="179" fontId="9" fillId="0" borderId="1" xfId="0" applyNumberFormat="1" applyFont="1" applyBorder="1">
      <alignment vertical="center"/>
    </xf>
    <xf numFmtId="6" fontId="6" fillId="0" borderId="0" xfId="2" applyFont="1" applyFill="1" applyBorder="1">
      <alignment vertical="center"/>
    </xf>
    <xf numFmtId="0" fontId="0" fillId="0" borderId="1" xfId="0" applyBorder="1" applyAlignment="1">
      <alignment vertical="center" shrinkToFit="1"/>
    </xf>
    <xf numFmtId="38" fontId="9" fillId="0" borderId="1" xfId="1" applyFont="1" applyFill="1" applyBorder="1" applyAlignment="1">
      <alignment vertical="center" shrinkToFit="1"/>
    </xf>
    <xf numFmtId="38" fontId="10" fillId="0" borderId="165" xfId="1" applyFont="1" applyFill="1" applyBorder="1" applyAlignment="1">
      <alignment vertical="center" shrinkToFit="1"/>
    </xf>
    <xf numFmtId="179" fontId="9" fillId="0" borderId="0" xfId="0" applyNumberFormat="1" applyFont="1">
      <alignment vertical="center"/>
    </xf>
    <xf numFmtId="0" fontId="0" fillId="0" borderId="0" xfId="0" applyAlignment="1">
      <alignment vertical="center" shrinkToFit="1"/>
    </xf>
    <xf numFmtId="38" fontId="10" fillId="0" borderId="131" xfId="1" applyFont="1" applyFill="1" applyBorder="1" applyAlignment="1">
      <alignment vertical="center" shrinkToFit="1"/>
    </xf>
    <xf numFmtId="38" fontId="9" fillId="0" borderId="31" xfId="1" applyFont="1" applyFill="1" applyBorder="1" applyAlignment="1">
      <alignment horizontal="right" vertical="center"/>
    </xf>
    <xf numFmtId="179" fontId="9" fillId="0" borderId="31" xfId="0" applyNumberFormat="1" applyFont="1" applyBorder="1">
      <alignment vertical="center"/>
    </xf>
    <xf numFmtId="177" fontId="10" fillId="0" borderId="194" xfId="0" applyNumberFormat="1" applyFont="1" applyBorder="1" applyAlignment="1">
      <alignment horizontal="center" vertical="center"/>
    </xf>
    <xf numFmtId="38" fontId="9" fillId="0" borderId="195" xfId="1" applyFont="1" applyFill="1" applyBorder="1">
      <alignment vertical="center"/>
    </xf>
    <xf numFmtId="38" fontId="9" fillId="0" borderId="196" xfId="1" applyFont="1" applyFill="1" applyBorder="1">
      <alignment vertical="center"/>
    </xf>
    <xf numFmtId="6" fontId="6" fillId="0" borderId="196" xfId="2" applyFont="1" applyFill="1" applyBorder="1">
      <alignment vertical="center"/>
    </xf>
    <xf numFmtId="38" fontId="2" fillId="0" borderId="76" xfId="1" applyFont="1" applyFill="1" applyBorder="1">
      <alignment vertical="center"/>
    </xf>
    <xf numFmtId="38" fontId="2" fillId="0" borderId="57" xfId="1" applyFont="1" applyFill="1" applyBorder="1">
      <alignment vertical="center"/>
    </xf>
    <xf numFmtId="38" fontId="4" fillId="0" borderId="86" xfId="1" applyFont="1" applyFill="1" applyBorder="1" applyAlignment="1">
      <alignment vertical="center" shrinkToFit="1"/>
    </xf>
    <xf numFmtId="38" fontId="2" fillId="0" borderId="76" xfId="1" applyFont="1" applyFill="1" applyBorder="1" applyAlignment="1">
      <alignment vertical="center" shrinkToFit="1"/>
    </xf>
    <xf numFmtId="38" fontId="2" fillId="0" borderId="4" xfId="1" applyFont="1" applyFill="1" applyBorder="1" applyAlignment="1">
      <alignment vertical="center" shrinkToFit="1"/>
    </xf>
    <xf numFmtId="38" fontId="4" fillId="0" borderId="170" xfId="1" applyFont="1" applyFill="1" applyBorder="1">
      <alignment vertical="center"/>
    </xf>
    <xf numFmtId="38" fontId="9" fillId="0" borderId="91" xfId="1" applyFont="1" applyFill="1" applyBorder="1">
      <alignment vertical="center"/>
    </xf>
    <xf numFmtId="6" fontId="6" fillId="0" borderId="38" xfId="2" applyFont="1" applyFill="1" applyBorder="1">
      <alignment vertical="center"/>
    </xf>
    <xf numFmtId="178" fontId="10" fillId="0" borderId="114" xfId="0" applyNumberFormat="1" applyFont="1" applyBorder="1" applyAlignment="1">
      <alignment horizontal="center" vertical="center"/>
    </xf>
    <xf numFmtId="38" fontId="6" fillId="0" borderId="141" xfId="1" applyFont="1" applyFill="1" applyBorder="1">
      <alignment vertical="center"/>
    </xf>
    <xf numFmtId="38" fontId="9" fillId="0" borderId="65" xfId="1" applyFont="1" applyFill="1" applyBorder="1" applyAlignment="1">
      <alignment vertical="center" shrinkToFit="1"/>
    </xf>
    <xf numFmtId="38" fontId="9" fillId="0" borderId="75" xfId="1" applyFont="1" applyFill="1" applyBorder="1" applyAlignment="1">
      <alignment vertical="center" shrinkToFit="1"/>
    </xf>
    <xf numFmtId="38" fontId="9" fillId="0" borderId="37" xfId="1" applyFont="1" applyFill="1" applyBorder="1" applyAlignment="1">
      <alignment vertical="center" shrinkToFit="1"/>
    </xf>
    <xf numFmtId="38" fontId="9" fillId="0" borderId="198" xfId="1" applyFont="1" applyFill="1" applyBorder="1" applyAlignment="1">
      <alignment horizontal="right" vertical="center"/>
    </xf>
    <xf numFmtId="178" fontId="10" fillId="0" borderId="153" xfId="0" applyNumberFormat="1" applyFont="1" applyBorder="1" applyAlignment="1">
      <alignment horizontal="center" vertical="center"/>
    </xf>
    <xf numFmtId="38" fontId="7" fillId="0" borderId="116" xfId="1" applyFont="1" applyFill="1" applyBorder="1" applyAlignment="1">
      <alignment vertical="center" shrinkToFit="1"/>
    </xf>
    <xf numFmtId="38" fontId="9" fillId="0" borderId="199" xfId="1" applyFont="1" applyFill="1" applyBorder="1">
      <alignment vertical="center"/>
    </xf>
    <xf numFmtId="38" fontId="9" fillId="0" borderId="200" xfId="1" applyFont="1" applyFill="1" applyBorder="1">
      <alignment vertical="center"/>
    </xf>
    <xf numFmtId="38" fontId="9" fillId="0" borderId="89" xfId="1" applyFont="1" applyFill="1" applyBorder="1">
      <alignment vertical="center"/>
    </xf>
    <xf numFmtId="38" fontId="9" fillId="0" borderId="46" xfId="1" applyFont="1" applyFill="1" applyBorder="1" applyAlignment="1">
      <alignment horizontal="right" vertical="center"/>
    </xf>
    <xf numFmtId="179" fontId="9" fillId="0" borderId="46" xfId="0" applyNumberFormat="1" applyFont="1" applyBorder="1">
      <alignment vertical="center"/>
    </xf>
    <xf numFmtId="38" fontId="9" fillId="0" borderId="41" xfId="1" applyFont="1" applyFill="1" applyBorder="1" applyAlignment="1">
      <alignment vertical="center" shrinkToFit="1"/>
    </xf>
    <xf numFmtId="38" fontId="9" fillId="0" borderId="46" xfId="1" applyFont="1" applyFill="1" applyBorder="1" applyAlignment="1">
      <alignment vertical="center" shrinkToFit="1"/>
    </xf>
    <xf numFmtId="38" fontId="9" fillId="0" borderId="203" xfId="1" applyFont="1" applyFill="1" applyBorder="1">
      <alignment vertical="center"/>
    </xf>
    <xf numFmtId="38" fontId="9" fillId="0" borderId="204" xfId="1" applyFont="1" applyFill="1" applyBorder="1">
      <alignment vertical="center"/>
    </xf>
    <xf numFmtId="38" fontId="9" fillId="0" borderId="204" xfId="1" applyFont="1" applyFill="1" applyBorder="1" applyAlignment="1">
      <alignment horizontal="right" vertical="center"/>
    </xf>
    <xf numFmtId="179" fontId="9" fillId="0" borderId="204" xfId="0" applyNumberFormat="1" applyFont="1" applyBorder="1">
      <alignment vertical="center"/>
    </xf>
    <xf numFmtId="0" fontId="0" fillId="0" borderId="205" xfId="0" applyBorder="1" applyAlignment="1">
      <alignment vertical="center" shrinkToFit="1"/>
    </xf>
    <xf numFmtId="38" fontId="9" fillId="0" borderId="207" xfId="1" applyFont="1" applyFill="1" applyBorder="1" applyAlignment="1">
      <alignment horizontal="right" vertical="center"/>
    </xf>
    <xf numFmtId="38" fontId="9" fillId="0" borderId="206" xfId="1" applyFont="1" applyFill="1" applyBorder="1" applyAlignment="1">
      <alignment vertical="center" shrinkToFit="1"/>
    </xf>
    <xf numFmtId="38" fontId="9" fillId="0" borderId="204" xfId="1" applyFont="1" applyFill="1" applyBorder="1" applyAlignment="1">
      <alignment vertical="center" shrinkToFit="1"/>
    </xf>
    <xf numFmtId="38" fontId="10" fillId="0" borderId="207" xfId="1" applyFont="1" applyFill="1" applyBorder="1" applyAlignment="1">
      <alignment vertical="center" shrinkToFit="1"/>
    </xf>
    <xf numFmtId="38" fontId="9" fillId="0" borderId="208" xfId="1" applyFont="1" applyFill="1" applyBorder="1" applyAlignment="1">
      <alignment horizontal="right" vertical="center"/>
    </xf>
    <xf numFmtId="38" fontId="10" fillId="0" borderId="169" xfId="1" applyFont="1" applyFill="1" applyBorder="1" applyAlignment="1">
      <alignment vertical="center" shrinkToFit="1"/>
    </xf>
    <xf numFmtId="6" fontId="2" fillId="0" borderId="140" xfId="2" applyFont="1" applyFill="1" applyBorder="1">
      <alignment vertical="center"/>
    </xf>
    <xf numFmtId="6" fontId="6" fillId="0" borderId="84" xfId="2" applyFont="1" applyFill="1" applyBorder="1">
      <alignment vertical="center"/>
    </xf>
    <xf numFmtId="6" fontId="6" fillId="0" borderId="48" xfId="2" applyFont="1" applyFill="1" applyBorder="1">
      <alignment vertical="center"/>
    </xf>
    <xf numFmtId="6" fontId="6" fillId="0" borderId="58" xfId="2" applyFont="1" applyFill="1" applyBorder="1">
      <alignment vertical="center"/>
    </xf>
    <xf numFmtId="38" fontId="9" fillId="4" borderId="168" xfId="1" applyFont="1" applyFill="1" applyBorder="1" applyAlignment="1">
      <alignment horizontal="right" vertical="center"/>
    </xf>
    <xf numFmtId="38" fontId="9" fillId="4" borderId="143" xfId="1" applyFont="1" applyFill="1" applyBorder="1" applyAlignment="1">
      <alignment horizontal="right" vertical="center"/>
    </xf>
    <xf numFmtId="38" fontId="10" fillId="4" borderId="191" xfId="1" applyFont="1" applyFill="1" applyBorder="1" applyAlignment="1">
      <alignment vertical="center" shrinkToFit="1"/>
    </xf>
    <xf numFmtId="38" fontId="9" fillId="0" borderId="91" xfId="1" applyFont="1" applyFill="1" applyBorder="1" applyAlignment="1">
      <alignment horizontal="center" vertical="center"/>
    </xf>
    <xf numFmtId="38" fontId="9" fillId="0" borderId="31" xfId="1" applyFont="1" applyFill="1" applyBorder="1" applyAlignment="1">
      <alignment horizontal="center" vertical="center" shrinkToFit="1"/>
    </xf>
    <xf numFmtId="38" fontId="9" fillId="4" borderId="164" xfId="1" applyFont="1" applyFill="1" applyBorder="1" applyAlignment="1">
      <alignment horizontal="right" vertical="center"/>
    </xf>
    <xf numFmtId="38" fontId="9" fillId="4" borderId="165" xfId="1" applyFont="1" applyFill="1" applyBorder="1" applyAlignment="1">
      <alignment horizontal="right" vertical="center"/>
    </xf>
    <xf numFmtId="38" fontId="9" fillId="0" borderId="164" xfId="1" applyFont="1" applyFill="1" applyBorder="1" applyAlignment="1">
      <alignment horizontal="right" vertical="center"/>
    </xf>
    <xf numFmtId="38" fontId="9" fillId="0" borderId="165" xfId="1" applyFont="1" applyFill="1" applyBorder="1" applyAlignment="1">
      <alignment horizontal="right" vertical="center"/>
    </xf>
    <xf numFmtId="0" fontId="4" fillId="0" borderId="132" xfId="0" applyFont="1" applyBorder="1" applyAlignment="1">
      <alignment horizontal="center" vertical="center"/>
    </xf>
    <xf numFmtId="0" fontId="4" fillId="0" borderId="136" xfId="0" applyFont="1" applyBorder="1" applyAlignment="1">
      <alignment horizontal="center" vertical="center"/>
    </xf>
    <xf numFmtId="0" fontId="4" fillId="0" borderId="13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7" fontId="10" fillId="0" borderId="185" xfId="0" applyNumberFormat="1" applyFont="1" applyBorder="1" applyAlignment="1">
      <alignment horizontal="center" vertical="center"/>
    </xf>
    <xf numFmtId="177" fontId="10" fillId="0" borderId="178" xfId="0" applyNumberFormat="1" applyFont="1" applyBorder="1" applyAlignment="1">
      <alignment horizontal="center" vertical="center"/>
    </xf>
    <xf numFmtId="177" fontId="10" fillId="0" borderId="134" xfId="0" applyNumberFormat="1" applyFont="1" applyBorder="1" applyAlignment="1">
      <alignment horizontal="center" vertical="center" wrapText="1"/>
    </xf>
    <xf numFmtId="177" fontId="10" fillId="0" borderId="135" xfId="0" applyNumberFormat="1" applyFont="1" applyBorder="1" applyAlignment="1">
      <alignment horizontal="center" vertical="center" wrapText="1"/>
    </xf>
    <xf numFmtId="177" fontId="10" fillId="0" borderId="9" xfId="0" applyNumberFormat="1" applyFont="1" applyBorder="1" applyAlignment="1">
      <alignment horizontal="center" vertical="center" wrapText="1"/>
    </xf>
    <xf numFmtId="177" fontId="10" fillId="0" borderId="28" xfId="0" applyNumberFormat="1" applyFont="1" applyBorder="1" applyAlignment="1">
      <alignment horizontal="center" vertical="center" wrapText="1"/>
    </xf>
    <xf numFmtId="176" fontId="4" fillId="0" borderId="0" xfId="3" applyNumberFormat="1" applyFont="1" applyFill="1" applyBorder="1" applyAlignment="1">
      <alignment horizontal="center" vertical="center" shrinkToFit="1"/>
    </xf>
    <xf numFmtId="177" fontId="10" fillId="0" borderId="209" xfId="0" applyNumberFormat="1" applyFont="1" applyBorder="1" applyAlignment="1">
      <alignment horizontal="center" vertical="center"/>
    </xf>
    <xf numFmtId="177" fontId="10" fillId="0" borderId="33" xfId="0" applyNumberFormat="1" applyFont="1" applyBorder="1" applyAlignment="1">
      <alignment horizontal="center" vertical="center"/>
    </xf>
    <xf numFmtId="38" fontId="0" fillId="0" borderId="120" xfId="1" applyFont="1" applyFill="1" applyBorder="1" applyAlignment="1">
      <alignment horizontal="center" vertical="center"/>
    </xf>
    <xf numFmtId="38" fontId="0" fillId="0" borderId="121" xfId="1" applyFont="1" applyFill="1" applyBorder="1" applyAlignment="1">
      <alignment horizontal="center" vertical="center"/>
    </xf>
    <xf numFmtId="177" fontId="10" fillId="0" borderId="184" xfId="0" applyNumberFormat="1" applyFont="1" applyBorder="1" applyAlignment="1">
      <alignment horizontal="center" vertical="center"/>
    </xf>
    <xf numFmtId="177" fontId="10" fillId="0" borderId="1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38" fontId="0" fillId="0" borderId="119" xfId="1" applyFont="1" applyFill="1" applyBorder="1" applyAlignment="1">
      <alignment horizontal="center" vertical="center"/>
    </xf>
    <xf numFmtId="38" fontId="0" fillId="0" borderId="122" xfId="1" applyFont="1" applyFill="1" applyBorder="1" applyAlignment="1">
      <alignment horizontal="center" vertical="center"/>
    </xf>
    <xf numFmtId="38" fontId="0" fillId="0" borderId="15" xfId="1" applyFont="1" applyFill="1" applyBorder="1" applyAlignment="1">
      <alignment horizontal="center" vertical="center"/>
    </xf>
    <xf numFmtId="38" fontId="4" fillId="0" borderId="120" xfId="1" applyFont="1" applyFill="1" applyBorder="1" applyAlignment="1">
      <alignment horizontal="center" vertical="center" wrapText="1" shrinkToFit="1"/>
    </xf>
    <xf numFmtId="38" fontId="4" fillId="0" borderId="13" xfId="1" applyFont="1" applyFill="1" applyBorder="1" applyAlignment="1">
      <alignment horizontal="center" vertical="center" shrinkToFit="1"/>
    </xf>
    <xf numFmtId="6" fontId="4" fillId="0" borderId="123" xfId="2" applyFont="1" applyFill="1" applyBorder="1" applyAlignment="1">
      <alignment horizontal="center" vertical="center" wrapText="1" shrinkToFit="1"/>
    </xf>
    <xf numFmtId="6" fontId="4" fillId="0" borderId="16" xfId="2" applyFont="1" applyFill="1" applyBorder="1" applyAlignment="1">
      <alignment horizontal="center" vertical="center" shrinkToFit="1"/>
    </xf>
    <xf numFmtId="38" fontId="0" fillId="0" borderId="124" xfId="1" applyFont="1" applyFill="1" applyBorder="1" applyAlignment="1">
      <alignment horizontal="center" vertical="center" shrinkToFit="1"/>
    </xf>
    <xf numFmtId="38" fontId="0" fillId="0" borderId="17" xfId="1" applyFont="1" applyFill="1" applyBorder="1" applyAlignment="1">
      <alignment horizontal="center" vertical="center" shrinkToFit="1"/>
    </xf>
    <xf numFmtId="38" fontId="0" fillId="0" borderId="125" xfId="1" applyFont="1" applyFill="1" applyBorder="1" applyAlignment="1">
      <alignment horizontal="center" vertical="center" wrapText="1"/>
    </xf>
    <xf numFmtId="38" fontId="0" fillId="0" borderId="18" xfId="1" applyFont="1" applyFill="1" applyBorder="1" applyAlignment="1">
      <alignment horizontal="center" vertical="center" wrapText="1"/>
    </xf>
    <xf numFmtId="38" fontId="0" fillId="0" borderId="125" xfId="1" applyFont="1" applyFill="1" applyBorder="1" applyAlignment="1">
      <alignment horizontal="center" vertical="center"/>
    </xf>
    <xf numFmtId="38" fontId="0" fillId="0" borderId="18" xfId="1" applyFont="1" applyFill="1" applyBorder="1" applyAlignment="1">
      <alignment horizontal="center" vertical="center"/>
    </xf>
    <xf numFmtId="38" fontId="10" fillId="0" borderId="169" xfId="1" applyFont="1" applyFill="1" applyBorder="1" applyAlignment="1">
      <alignment horizontal="right" vertical="center"/>
    </xf>
    <xf numFmtId="0" fontId="4" fillId="0" borderId="19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10" fillId="0" borderId="40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7" fontId="10" fillId="0" borderId="201" xfId="0" applyNumberFormat="1" applyFont="1" applyBorder="1" applyAlignment="1">
      <alignment horizontal="center" vertical="center"/>
    </xf>
    <xf numFmtId="177" fontId="10" fillId="0" borderId="202" xfId="0" applyNumberFormat="1" applyFont="1" applyBorder="1" applyAlignment="1">
      <alignment horizontal="center" vertical="center"/>
    </xf>
    <xf numFmtId="177" fontId="10" fillId="0" borderId="149" xfId="0" applyNumberFormat="1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177" fontId="10" fillId="0" borderId="129" xfId="0" applyNumberFormat="1" applyFont="1" applyBorder="1" applyAlignment="1">
      <alignment horizontal="center" vertical="center"/>
    </xf>
    <xf numFmtId="177" fontId="10" fillId="0" borderId="153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61" xfId="0" applyNumberFormat="1" applyFont="1" applyBorder="1" applyAlignment="1">
      <alignment horizontal="center" vertical="center"/>
    </xf>
    <xf numFmtId="177" fontId="10" fillId="0" borderId="186" xfId="0" applyNumberFormat="1" applyFont="1" applyBorder="1" applyAlignment="1">
      <alignment horizontal="center" vertical="center"/>
    </xf>
    <xf numFmtId="177" fontId="10" fillId="0" borderId="180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150" xfId="0" applyNumberFormat="1" applyFont="1" applyBorder="1" applyAlignment="1">
      <alignment horizontal="center" vertical="center"/>
    </xf>
    <xf numFmtId="177" fontId="10" fillId="0" borderId="43" xfId="0" applyNumberFormat="1" applyFont="1" applyBorder="1" applyAlignment="1">
      <alignment horizontal="center" vertical="center"/>
    </xf>
    <xf numFmtId="38" fontId="7" fillId="0" borderId="0" xfId="1" applyFont="1" applyFill="1" applyBorder="1" applyAlignment="1">
      <alignment horizontal="right" vertical="center" wrapText="1" shrinkToFit="1"/>
    </xf>
    <xf numFmtId="38" fontId="7" fillId="0" borderId="0" xfId="1" applyFont="1" applyFill="1" applyBorder="1" applyAlignment="1">
      <alignment horizontal="right" vertical="center" shrinkToFit="1"/>
    </xf>
    <xf numFmtId="10" fontId="7" fillId="0" borderId="0" xfId="3" applyNumberFormat="1" applyFont="1" applyFill="1" applyBorder="1" applyAlignment="1">
      <alignment horizontal="center" vertical="center" shrinkToFit="1"/>
    </xf>
    <xf numFmtId="10" fontId="7" fillId="0" borderId="0" xfId="3" applyNumberFormat="1" applyFont="1" applyFill="1" applyBorder="1" applyAlignment="1">
      <alignment horizontal="right" vertical="center" shrinkToFit="1"/>
    </xf>
    <xf numFmtId="38" fontId="9" fillId="0" borderId="91" xfId="1" applyFont="1" applyFill="1" applyBorder="1" applyAlignment="1">
      <alignment horizontal="right" vertical="center"/>
    </xf>
    <xf numFmtId="38" fontId="7" fillId="0" borderId="0" xfId="1" applyFont="1" applyFill="1" applyBorder="1" applyAlignment="1">
      <alignment horizontal="right" vertical="center"/>
    </xf>
    <xf numFmtId="10" fontId="7" fillId="0" borderId="0" xfId="3" applyNumberFormat="1" applyFont="1" applyFill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68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77" fontId="10" fillId="0" borderId="64" xfId="0" applyNumberFormat="1" applyFont="1" applyBorder="1" applyAlignment="1">
      <alignment horizontal="center" vertical="center"/>
    </xf>
    <xf numFmtId="38" fontId="0" fillId="0" borderId="3" xfId="1" applyFont="1" applyFill="1" applyBorder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10" fillId="0" borderId="0" xfId="1" applyFont="1" applyFill="1" applyBorder="1" applyAlignment="1">
      <alignment horizontal="center" vertical="center" wrapText="1" shrinkToFit="1"/>
    </xf>
    <xf numFmtId="38" fontId="10" fillId="0" borderId="0" xfId="1" applyFont="1" applyFill="1" applyBorder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177" fontId="10" fillId="0" borderId="2" xfId="0" applyNumberFormat="1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38" fontId="9" fillId="0" borderId="9" xfId="1" applyFont="1" applyFill="1" applyBorder="1" applyAlignment="1">
      <alignment horizontal="right" vertical="center"/>
    </xf>
    <xf numFmtId="38" fontId="9" fillId="0" borderId="28" xfId="1" applyFont="1" applyFill="1" applyBorder="1" applyAlignment="1">
      <alignment horizontal="right" vertical="center"/>
    </xf>
    <xf numFmtId="38" fontId="9" fillId="0" borderId="76" xfId="1" applyFont="1" applyFill="1" applyBorder="1" applyAlignment="1">
      <alignment horizontal="center" vertical="center"/>
    </xf>
    <xf numFmtId="38" fontId="9" fillId="0" borderId="77" xfId="1" applyFont="1" applyFill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38" fontId="0" fillId="0" borderId="65" xfId="1" applyFont="1" applyFill="1" applyBorder="1" applyAlignment="1">
      <alignment horizontal="center" vertical="center"/>
    </xf>
    <xf numFmtId="38" fontId="0" fillId="0" borderId="4" xfId="1" applyFont="1" applyFill="1" applyBorder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4" fillId="0" borderId="4" xfId="1" applyFont="1" applyFill="1" applyBorder="1" applyAlignment="1">
      <alignment horizontal="center" vertical="center" wrapText="1" shrinkToFit="1"/>
    </xf>
    <xf numFmtId="6" fontId="4" fillId="0" borderId="7" xfId="2" applyFont="1" applyFill="1" applyBorder="1" applyAlignment="1">
      <alignment horizontal="center" vertical="center" wrapText="1" shrinkToFit="1"/>
    </xf>
    <xf numFmtId="38" fontId="0" fillId="0" borderId="8" xfId="1" applyFont="1" applyFill="1" applyBorder="1" applyAlignment="1">
      <alignment horizontal="center" vertical="center" shrinkToFit="1"/>
    </xf>
    <xf numFmtId="38" fontId="0" fillId="0" borderId="42" xfId="1" applyFont="1" applyFill="1" applyBorder="1" applyAlignment="1">
      <alignment horizontal="center" vertical="center" wrapText="1"/>
    </xf>
    <xf numFmtId="38" fontId="0" fillId="0" borderId="152" xfId="1" applyFont="1" applyFill="1" applyBorder="1" applyAlignment="1">
      <alignment horizontal="center" vertical="center" wrapText="1"/>
    </xf>
    <xf numFmtId="38" fontId="9" fillId="0" borderId="4" xfId="1" applyFont="1" applyBorder="1" applyAlignment="1">
      <alignment horizontal="center" vertical="center" shrinkToFit="1"/>
    </xf>
    <xf numFmtId="38" fontId="9" fillId="0" borderId="22" xfId="1" applyFont="1" applyBorder="1" applyAlignment="1">
      <alignment horizontal="center" vertical="center" shrinkToFit="1"/>
    </xf>
    <xf numFmtId="38" fontId="10" fillId="0" borderId="57" xfId="1" applyFont="1" applyFill="1" applyBorder="1" applyAlignment="1">
      <alignment horizontal="right" vertical="center"/>
    </xf>
    <xf numFmtId="38" fontId="10" fillId="0" borderId="67" xfId="1" applyFont="1" applyFill="1" applyBorder="1" applyAlignment="1">
      <alignment horizontal="right" vertical="center"/>
    </xf>
    <xf numFmtId="38" fontId="0" fillId="0" borderId="9" xfId="1" applyFont="1" applyFill="1" applyBorder="1" applyAlignment="1">
      <alignment horizontal="center" vertical="center" wrapText="1"/>
    </xf>
    <xf numFmtId="38" fontId="0" fillId="0" borderId="9" xfId="1" applyFont="1" applyFill="1" applyBorder="1" applyAlignment="1">
      <alignment horizontal="center" vertical="center"/>
    </xf>
    <xf numFmtId="38" fontId="10" fillId="0" borderId="9" xfId="1" applyFont="1" applyFill="1" applyBorder="1" applyAlignment="1">
      <alignment horizontal="right" vertical="center"/>
    </xf>
    <xf numFmtId="38" fontId="10" fillId="0" borderId="28" xfId="1" applyFont="1" applyFill="1" applyBorder="1" applyAlignment="1">
      <alignment horizontal="right" vertical="center"/>
    </xf>
    <xf numFmtId="38" fontId="10" fillId="0" borderId="29" xfId="1" applyFont="1" applyFill="1" applyBorder="1" applyAlignment="1">
      <alignment horizontal="center" vertical="center" wrapText="1" shrinkToFit="1"/>
    </xf>
    <xf numFmtId="38" fontId="10" fillId="0" borderId="29" xfId="1" applyFont="1" applyFill="1" applyBorder="1" applyAlignment="1">
      <alignment horizontal="center" vertical="center" shrinkToFit="1"/>
    </xf>
    <xf numFmtId="38" fontId="9" fillId="0" borderId="9" xfId="1" applyFont="1" applyFill="1" applyBorder="1" applyAlignment="1">
      <alignment horizontal="center" vertical="center"/>
    </xf>
    <xf numFmtId="38" fontId="9" fillId="0" borderId="28" xfId="1" applyFont="1" applyFill="1" applyBorder="1" applyAlignment="1">
      <alignment horizontal="center" vertical="center"/>
    </xf>
    <xf numFmtId="38" fontId="9" fillId="0" borderId="9" xfId="1" applyFont="1" applyBorder="1" applyAlignment="1">
      <alignment horizontal="center" vertical="center" shrinkToFit="1"/>
    </xf>
    <xf numFmtId="38" fontId="9" fillId="0" borderId="28" xfId="1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38" fontId="9" fillId="0" borderId="9" xfId="1" applyFont="1" applyFill="1" applyBorder="1" applyAlignment="1">
      <alignment horizontal="right"/>
    </xf>
    <xf numFmtId="38" fontId="9" fillId="0" borderId="28" xfId="1" applyFont="1" applyFill="1" applyBorder="1" applyAlignment="1">
      <alignment horizontal="right"/>
    </xf>
    <xf numFmtId="177" fontId="10" fillId="0" borderId="45" xfId="0" applyNumberFormat="1" applyFont="1" applyBorder="1" applyAlignment="1">
      <alignment horizontal="center" vertical="center"/>
    </xf>
    <xf numFmtId="177" fontId="10" fillId="0" borderId="62" xfId="0" applyNumberFormat="1" applyFont="1" applyBorder="1" applyAlignment="1">
      <alignment horizontal="center" vertical="center"/>
    </xf>
    <xf numFmtId="177" fontId="10" fillId="0" borderId="69" xfId="0" applyNumberFormat="1" applyFont="1" applyBorder="1" applyAlignment="1">
      <alignment horizontal="center" vertical="center"/>
    </xf>
    <xf numFmtId="177" fontId="7" fillId="0" borderId="42" xfId="0" applyNumberFormat="1" applyFont="1" applyBorder="1" applyAlignment="1">
      <alignment horizontal="center" vertical="center" wrapText="1"/>
    </xf>
    <xf numFmtId="177" fontId="7" fillId="0" borderId="89" xfId="0" applyNumberFormat="1" applyFont="1" applyBorder="1" applyAlignment="1">
      <alignment horizontal="center" vertical="center" wrapText="1"/>
    </xf>
    <xf numFmtId="177" fontId="10" fillId="0" borderId="81" xfId="0" applyNumberFormat="1" applyFont="1" applyBorder="1" applyAlignment="1">
      <alignment horizontal="center" vertical="center" wrapText="1"/>
    </xf>
    <xf numFmtId="177" fontId="10" fillId="0" borderId="60" xfId="0" applyNumberFormat="1" applyFont="1" applyBorder="1" applyAlignment="1">
      <alignment horizontal="center" vertical="center" wrapText="1"/>
    </xf>
    <xf numFmtId="38" fontId="9" fillId="0" borderId="9" xfId="1" applyFont="1" applyBorder="1" applyAlignment="1">
      <alignment horizontal="center" shrinkToFit="1"/>
    </xf>
    <xf numFmtId="38" fontId="9" fillId="0" borderId="28" xfId="1" applyFont="1" applyBorder="1" applyAlignment="1">
      <alignment horizontal="center" shrinkToFit="1"/>
    </xf>
    <xf numFmtId="38" fontId="10" fillId="0" borderId="9" xfId="1" applyFont="1" applyFill="1" applyBorder="1" applyAlignment="1"/>
    <xf numFmtId="38" fontId="10" fillId="0" borderId="28" xfId="1" applyFont="1" applyFill="1" applyBorder="1" applyAlignment="1"/>
    <xf numFmtId="177" fontId="10" fillId="0" borderId="34" xfId="0" applyNumberFormat="1" applyFont="1" applyBorder="1" applyAlignment="1">
      <alignment horizontal="center" vertical="center"/>
    </xf>
    <xf numFmtId="38" fontId="9" fillId="0" borderId="68" xfId="1" applyFont="1" applyFill="1" applyBorder="1" applyAlignment="1">
      <alignment horizontal="right"/>
    </xf>
    <xf numFmtId="38" fontId="9" fillId="0" borderId="69" xfId="1" applyFont="1" applyFill="1" applyBorder="1" applyAlignment="1">
      <alignment horizontal="right"/>
    </xf>
    <xf numFmtId="0" fontId="4" fillId="0" borderId="26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181" fontId="0" fillId="0" borderId="0" xfId="1" applyNumberFormat="1" applyFont="1" applyFill="1" applyBorder="1" applyAlignment="1">
      <alignment horizontal="center" vertical="center" wrapText="1"/>
    </xf>
    <xf numFmtId="176" fontId="10" fillId="0" borderId="0" xfId="3" applyNumberFormat="1" applyFont="1" applyFill="1" applyBorder="1" applyAlignment="1">
      <alignment horizontal="center" vertical="center" shrinkToFit="1"/>
    </xf>
    <xf numFmtId="177" fontId="4" fillId="0" borderId="30" xfId="0" applyNumberFormat="1" applyFont="1" applyBorder="1" applyAlignment="1">
      <alignment horizontal="center" vertical="center"/>
    </xf>
    <xf numFmtId="177" fontId="4" fillId="0" borderId="37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77" fontId="10" fillId="0" borderId="74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0" fillId="0" borderId="39" xfId="0" applyNumberFormat="1" applyFont="1" applyBorder="1" applyAlignment="1">
      <alignment horizontal="center" vertical="center"/>
    </xf>
    <xf numFmtId="177" fontId="10" fillId="0" borderId="54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38" fontId="4" fillId="0" borderId="65" xfId="1" applyFont="1" applyFill="1" applyBorder="1" applyAlignment="1">
      <alignment horizontal="center" vertical="center" wrapText="1" shrinkToFit="1"/>
    </xf>
    <xf numFmtId="38" fontId="4" fillId="0" borderId="78" xfId="1" applyFont="1" applyFill="1" applyBorder="1" applyAlignment="1">
      <alignment horizontal="center" vertical="center" shrinkToFit="1"/>
    </xf>
    <xf numFmtId="38" fontId="4" fillId="0" borderId="10" xfId="1" applyFont="1" applyFill="1" applyBorder="1" applyAlignment="1">
      <alignment horizontal="center" vertical="center" shrinkToFit="1"/>
    </xf>
    <xf numFmtId="38" fontId="4" fillId="0" borderId="19" xfId="1" applyFont="1" applyFill="1" applyBorder="1" applyAlignment="1">
      <alignment horizontal="center" vertical="center" shrinkToFit="1"/>
    </xf>
    <xf numFmtId="38" fontId="0" fillId="0" borderId="81" xfId="1" applyFont="1" applyFill="1" applyBorder="1" applyAlignment="1">
      <alignment horizontal="center" vertical="center"/>
    </xf>
    <xf numFmtId="38" fontId="0" fillId="0" borderId="8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8" fontId="0" fillId="3" borderId="5" xfId="1" applyFont="1" applyFill="1" applyBorder="1" applyAlignment="1">
      <alignment horizontal="center" vertical="center"/>
    </xf>
    <xf numFmtId="38" fontId="0" fillId="3" borderId="65" xfId="1" applyFont="1" applyFill="1" applyBorder="1" applyAlignment="1">
      <alignment horizontal="center" vertical="center"/>
    </xf>
    <xf numFmtId="38" fontId="4" fillId="0" borderId="29" xfId="1" applyFont="1" applyFill="1" applyBorder="1" applyAlignment="1">
      <alignment horizontal="center" vertical="center" shrinkToFit="1"/>
    </xf>
    <xf numFmtId="38" fontId="0" fillId="0" borderId="9" xfId="1" applyFont="1" applyBorder="1" applyAlignment="1">
      <alignment horizontal="center" vertical="center"/>
    </xf>
    <xf numFmtId="38" fontId="0" fillId="0" borderId="18" xfId="1" applyFont="1" applyBorder="1" applyAlignment="1">
      <alignment horizontal="center" vertical="center"/>
    </xf>
    <xf numFmtId="6" fontId="4" fillId="0" borderId="10" xfId="2" applyFont="1" applyBorder="1" applyAlignment="1">
      <alignment horizontal="center" vertical="center" shrinkToFit="1"/>
    </xf>
    <xf numFmtId="6" fontId="4" fillId="0" borderId="19" xfId="2" applyFont="1" applyBorder="1" applyAlignment="1">
      <alignment horizontal="center" vertical="center" shrinkToFit="1"/>
    </xf>
    <xf numFmtId="38" fontId="0" fillId="0" borderId="4" xfId="1" applyFont="1" applyBorder="1" applyAlignment="1">
      <alignment horizontal="center" vertical="center"/>
    </xf>
    <xf numFmtId="38" fontId="0" fillId="0" borderId="5" xfId="1" applyFont="1" applyBorder="1" applyAlignment="1">
      <alignment horizontal="center" vertical="center"/>
    </xf>
    <xf numFmtId="38" fontId="0" fillId="0" borderId="6" xfId="1" applyFont="1" applyBorder="1" applyAlignment="1">
      <alignment horizontal="center" vertical="center"/>
    </xf>
    <xf numFmtId="38" fontId="0" fillId="0" borderId="15" xfId="1" applyFont="1" applyBorder="1" applyAlignment="1">
      <alignment horizontal="center" vertical="center"/>
    </xf>
    <xf numFmtId="6" fontId="4" fillId="0" borderId="4" xfId="2" applyFont="1" applyBorder="1" applyAlignment="1">
      <alignment horizontal="center" vertical="center" wrapText="1" shrinkToFit="1"/>
    </xf>
    <xf numFmtId="6" fontId="4" fillId="0" borderId="13" xfId="2" applyFont="1" applyBorder="1" applyAlignment="1">
      <alignment horizontal="center" vertical="center" shrinkToFit="1"/>
    </xf>
    <xf numFmtId="6" fontId="4" fillId="0" borderId="7" xfId="2" applyFont="1" applyBorder="1" applyAlignment="1">
      <alignment horizontal="center" vertical="center" wrapText="1" shrinkToFit="1"/>
    </xf>
    <xf numFmtId="6" fontId="4" fillId="0" borderId="16" xfId="2" applyFont="1" applyBorder="1" applyAlignment="1">
      <alignment horizontal="center" vertical="center" shrinkToFit="1"/>
    </xf>
    <xf numFmtId="38" fontId="0" fillId="0" borderId="8" xfId="1" applyFont="1" applyBorder="1" applyAlignment="1">
      <alignment horizontal="center" vertical="center"/>
    </xf>
    <xf numFmtId="38" fontId="0" fillId="0" borderId="17" xfId="1" applyFont="1" applyBorder="1" applyAlignment="1">
      <alignment horizontal="center" vertical="center"/>
    </xf>
    <xf numFmtId="38" fontId="0" fillId="0" borderId="9" xfId="1" applyFont="1" applyBorder="1" applyAlignment="1">
      <alignment horizontal="center" vertical="center" wrapText="1"/>
    </xf>
    <xf numFmtId="38" fontId="0" fillId="0" borderId="18" xfId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shrinkToFit="1"/>
    </xf>
    <xf numFmtId="177" fontId="10" fillId="0" borderId="39" xfId="0" applyNumberFormat="1" applyFont="1" applyBorder="1" applyAlignment="1">
      <alignment horizontal="center" vertical="center" shrinkToFit="1"/>
    </xf>
    <xf numFmtId="177" fontId="10" fillId="0" borderId="40" xfId="0" applyNumberFormat="1" applyFont="1" applyBorder="1" applyAlignment="1">
      <alignment horizontal="center" vertical="center" shrinkToFit="1"/>
    </xf>
    <xf numFmtId="177" fontId="10" fillId="0" borderId="41" xfId="0" applyNumberFormat="1" applyFont="1" applyBorder="1" applyAlignment="1">
      <alignment horizontal="center" vertical="center" shrinkToFit="1"/>
    </xf>
    <xf numFmtId="176" fontId="0" fillId="0" borderId="29" xfId="3" applyNumberFormat="1" applyFont="1" applyBorder="1" applyAlignment="1">
      <alignment horizontal="right" vertical="center"/>
    </xf>
    <xf numFmtId="182" fontId="4" fillId="5" borderId="9" xfId="0" applyNumberFormat="1" applyFont="1" applyFill="1" applyBorder="1" applyAlignment="1">
      <alignment horizontal="right" vertical="center" shrinkToFit="1"/>
    </xf>
    <xf numFmtId="182" fontId="4" fillId="5" borderId="28" xfId="0" applyNumberFormat="1" applyFont="1" applyFill="1" applyBorder="1" applyAlignment="1">
      <alignment horizontal="right" vertical="center" shrinkToFit="1"/>
    </xf>
    <xf numFmtId="182" fontId="4" fillId="0" borderId="9" xfId="2" applyNumberFormat="1" applyFont="1" applyFill="1" applyBorder="1" applyAlignment="1">
      <alignment horizontal="right" vertical="center"/>
    </xf>
    <xf numFmtId="182" fontId="4" fillId="0" borderId="28" xfId="2" applyNumberFormat="1" applyFont="1" applyFill="1" applyBorder="1" applyAlignment="1">
      <alignment horizontal="right" vertical="center"/>
    </xf>
    <xf numFmtId="177" fontId="10" fillId="0" borderId="30" xfId="0" applyNumberFormat="1" applyFont="1" applyBorder="1" applyAlignment="1">
      <alignment horizontal="center" vertical="center" shrinkToFit="1"/>
    </xf>
    <xf numFmtId="177" fontId="10" fillId="0" borderId="37" xfId="0" applyNumberFormat="1" applyFont="1" applyBorder="1" applyAlignment="1">
      <alignment horizontal="center" vertical="center" shrinkToFit="1"/>
    </xf>
    <xf numFmtId="38" fontId="0" fillId="0" borderId="3" xfId="1" applyFont="1" applyBorder="1" applyAlignment="1">
      <alignment horizontal="center" vertical="center"/>
    </xf>
    <xf numFmtId="38" fontId="0" fillId="0" borderId="12" xfId="1" applyFont="1" applyBorder="1" applyAlignment="1">
      <alignment horizontal="center" vertical="center"/>
    </xf>
    <xf numFmtId="6" fontId="4" fillId="0" borderId="5" xfId="2" applyFont="1" applyBorder="1" applyAlignment="1">
      <alignment horizontal="center" vertical="center" wrapText="1" shrinkToFit="1"/>
    </xf>
    <xf numFmtId="6" fontId="4" fillId="0" borderId="14" xfId="2" applyFont="1" applyBorder="1" applyAlignment="1">
      <alignment horizontal="center" vertical="center" shrinkToFit="1"/>
    </xf>
    <xf numFmtId="6" fontId="4" fillId="0" borderId="10" xfId="2" applyFont="1" applyBorder="1" applyAlignment="1">
      <alignment horizontal="center" vertical="center" wrapText="1" shrinkToFit="1"/>
    </xf>
    <xf numFmtId="182" fontId="4" fillId="0" borderId="36" xfId="2" applyNumberFormat="1" applyFont="1" applyFill="1" applyBorder="1" applyAlignment="1">
      <alignment horizontal="right" vertical="center"/>
    </xf>
    <xf numFmtId="176" fontId="0" fillId="0" borderId="29" xfId="3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left" vertical="center"/>
    </xf>
    <xf numFmtId="177" fontId="4" fillId="0" borderId="37" xfId="0" applyNumberFormat="1" applyFont="1" applyBorder="1" applyAlignment="1">
      <alignment horizontal="left" vertical="center"/>
    </xf>
    <xf numFmtId="177" fontId="4" fillId="0" borderId="42" xfId="0" applyNumberFormat="1" applyFont="1" applyBorder="1" applyAlignment="1">
      <alignment horizontal="center" vertical="center" wrapText="1"/>
    </xf>
    <xf numFmtId="177" fontId="4" fillId="0" borderId="20" xfId="0" applyNumberFormat="1" applyFont="1" applyBorder="1" applyAlignment="1">
      <alignment horizontal="center" vertical="center" wrapText="1"/>
    </xf>
    <xf numFmtId="177" fontId="4" fillId="0" borderId="89" xfId="0" applyNumberFormat="1" applyFont="1" applyBorder="1" applyAlignment="1">
      <alignment horizontal="center" vertical="center" wrapText="1"/>
    </xf>
    <xf numFmtId="177" fontId="4" fillId="0" borderId="46" xfId="0" applyNumberFormat="1" applyFont="1" applyBorder="1" applyAlignment="1">
      <alignment horizontal="center" vertical="center" wrapText="1"/>
    </xf>
    <xf numFmtId="182" fontId="4" fillId="5" borderId="9" xfId="0" applyNumberFormat="1" applyFont="1" applyFill="1" applyBorder="1" applyAlignment="1">
      <alignment horizontal="center" vertical="center" shrinkToFit="1"/>
    </xf>
    <xf numFmtId="182" fontId="4" fillId="5" borderId="36" xfId="0" applyNumberFormat="1" applyFont="1" applyFill="1" applyBorder="1" applyAlignment="1">
      <alignment horizontal="center" vertical="center" shrinkToFit="1"/>
    </xf>
    <xf numFmtId="182" fontId="4" fillId="5" borderId="28" xfId="0" applyNumberFormat="1" applyFont="1" applyFill="1" applyBorder="1" applyAlignment="1">
      <alignment horizontal="center" vertical="center" shrinkToFit="1"/>
    </xf>
    <xf numFmtId="177" fontId="4" fillId="0" borderId="2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/>
    </xf>
    <xf numFmtId="177" fontId="4" fillId="0" borderId="40" xfId="0" applyNumberFormat="1" applyFont="1" applyBorder="1" applyAlignment="1">
      <alignment horizontal="center" vertical="center"/>
    </xf>
    <xf numFmtId="177" fontId="4" fillId="0" borderId="41" xfId="0" applyNumberFormat="1" applyFont="1" applyBorder="1" applyAlignment="1">
      <alignment horizontal="center" vertical="center"/>
    </xf>
    <xf numFmtId="38" fontId="6" fillId="0" borderId="3" xfId="1" applyFont="1" applyFill="1" applyBorder="1" applyAlignment="1">
      <alignment horizontal="right" vertical="center"/>
    </xf>
    <xf numFmtId="38" fontId="6" fillId="0" borderId="46" xfId="1" applyFont="1" applyFill="1" applyBorder="1" applyAlignment="1">
      <alignment horizontal="right" vertical="center"/>
    </xf>
    <xf numFmtId="38" fontId="6" fillId="0" borderId="81" xfId="1" applyFont="1" applyFill="1" applyBorder="1" applyAlignment="1">
      <alignment horizontal="right" vertical="center"/>
    </xf>
    <xf numFmtId="38" fontId="6" fillId="0" borderId="60" xfId="1" applyFont="1" applyFill="1" applyBorder="1" applyAlignment="1">
      <alignment horizontal="right" vertical="center"/>
    </xf>
    <xf numFmtId="6" fontId="6" fillId="0" borderId="9" xfId="2" applyFont="1" applyFill="1" applyBorder="1" applyAlignment="1">
      <alignment horizontal="right" vertical="center"/>
    </xf>
    <xf numFmtId="6" fontId="6" fillId="0" borderId="28" xfId="2" applyFont="1" applyFill="1" applyBorder="1" applyAlignment="1">
      <alignment horizontal="right" vertical="center"/>
    </xf>
    <xf numFmtId="38" fontId="7" fillId="0" borderId="9" xfId="1" applyFont="1" applyFill="1" applyBorder="1" applyAlignment="1">
      <alignment horizontal="center" vertical="center" shrinkToFit="1"/>
    </xf>
    <xf numFmtId="38" fontId="7" fillId="0" borderId="28" xfId="1" applyFont="1" applyFill="1" applyBorder="1" applyAlignment="1">
      <alignment horizontal="center" vertical="center" shrinkToFit="1"/>
    </xf>
    <xf numFmtId="182" fontId="4" fillId="0" borderId="9" xfId="1" applyNumberFormat="1" applyFont="1" applyFill="1" applyBorder="1" applyAlignment="1">
      <alignment horizontal="right" vertical="center" shrinkToFit="1"/>
    </xf>
    <xf numFmtId="182" fontId="4" fillId="0" borderId="28" xfId="1" applyNumberFormat="1" applyFont="1" applyFill="1" applyBorder="1" applyAlignment="1">
      <alignment horizontal="right" vertical="center" shrinkToFit="1"/>
    </xf>
    <xf numFmtId="182" fontId="4" fillId="5" borderId="36" xfId="0" applyNumberFormat="1" applyFont="1" applyFill="1" applyBorder="1" applyAlignment="1">
      <alignment horizontal="right" vertical="center" shrinkToFit="1"/>
    </xf>
    <xf numFmtId="177" fontId="4" fillId="0" borderId="30" xfId="0" applyNumberFormat="1" applyFont="1" applyBorder="1" applyAlignment="1">
      <alignment horizontal="center" vertical="center" shrinkToFit="1"/>
    </xf>
    <xf numFmtId="177" fontId="4" fillId="0" borderId="37" xfId="0" applyNumberFormat="1" applyFont="1" applyBorder="1" applyAlignment="1">
      <alignment horizontal="center" vertical="center" shrinkToFit="1"/>
    </xf>
    <xf numFmtId="38" fontId="6" fillId="4" borderId="77" xfId="1" applyFont="1" applyFill="1" applyBorder="1">
      <alignment vertical="center"/>
    </xf>
    <xf numFmtId="38" fontId="6" fillId="4" borderId="22" xfId="1" applyFont="1" applyFill="1" applyBorder="1">
      <alignment vertical="center"/>
    </xf>
    <xf numFmtId="38" fontId="6" fillId="4" borderId="22" xfId="1" applyFont="1" applyFill="1" applyBorder="1" applyAlignment="1">
      <alignment horizontal="right" vertical="center"/>
    </xf>
    <xf numFmtId="6" fontId="6" fillId="4" borderId="67" xfId="2" applyFont="1" applyFill="1" applyBorder="1">
      <alignment vertical="center"/>
    </xf>
    <xf numFmtId="178" fontId="7" fillId="4" borderId="40" xfId="1" applyNumberFormat="1" applyFont="1" applyFill="1" applyBorder="1" applyAlignment="1">
      <alignment vertical="center" shrinkToFit="1"/>
    </xf>
    <xf numFmtId="38" fontId="9" fillId="4" borderId="77" xfId="1" applyFont="1" applyFill="1" applyBorder="1" applyAlignment="1">
      <alignment horizontal="right" vertical="center" shrinkToFit="1"/>
    </xf>
    <xf numFmtId="38" fontId="9" fillId="4" borderId="22" xfId="1" applyFont="1" applyFill="1" applyBorder="1" applyAlignment="1">
      <alignment horizontal="right" vertical="center" shrinkToFit="1"/>
    </xf>
    <xf numFmtId="38" fontId="9" fillId="4" borderId="4" xfId="1" applyFont="1" applyFill="1" applyBorder="1">
      <alignment vertical="center"/>
    </xf>
    <xf numFmtId="38" fontId="9" fillId="4" borderId="22" xfId="1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747"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DC37-4FC3-49EA-A1E0-30C1E7A48D32}">
  <sheetPr>
    <pageSetUpPr fitToPage="1"/>
  </sheetPr>
  <dimension ref="A1:U44"/>
  <sheetViews>
    <sheetView tabSelected="1" zoomScaleNormal="100" workbookViewId="0">
      <selection activeCell="L22" sqref="L22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2.5546875" style="1" customWidth="1"/>
    <col min="8" max="8" width="12.77734375" style="1" customWidth="1"/>
    <col min="9" max="9" width="11.21875" style="1" customWidth="1"/>
    <col min="10" max="10" width="13.33203125" style="1" customWidth="1"/>
    <col min="11" max="11" width="13.6640625" style="36" customWidth="1"/>
    <col min="12" max="12" width="27.33203125" style="44" customWidth="1"/>
    <col min="13" max="14" width="10.77734375" style="1" customWidth="1"/>
    <col min="15" max="15" width="12.33203125" style="48" bestFit="1" customWidth="1"/>
    <col min="16" max="16" width="13.44140625" style="143" customWidth="1"/>
    <col min="17" max="17" width="13" style="47" customWidth="1"/>
    <col min="18" max="18" width="11.33203125" style="48" customWidth="1"/>
    <col min="19" max="19" width="9.109375" style="50" bestFit="1" customWidth="1"/>
    <col min="20" max="20" width="8.88671875" style="1"/>
    <col min="21" max="21" width="13.33203125" style="53" bestFit="1" customWidth="1"/>
  </cols>
  <sheetData>
    <row r="1" spans="1:21" ht="32.25" customHeight="1" thickBot="1">
      <c r="A1" s="806" t="s">
        <v>322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678"/>
    </row>
    <row r="2" spans="1:21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02" t="s">
        <v>329</v>
      </c>
      <c r="H2" s="803"/>
      <c r="I2" s="812" t="s">
        <v>5</v>
      </c>
      <c r="J2" s="814" t="s">
        <v>31</v>
      </c>
      <c r="K2" s="816" t="s">
        <v>6</v>
      </c>
      <c r="L2" s="818" t="s">
        <v>7</v>
      </c>
      <c r="M2" s="820" t="s">
        <v>8</v>
      </c>
      <c r="N2" s="822" t="s">
        <v>9</v>
      </c>
      <c r="O2" s="436" t="s">
        <v>52</v>
      </c>
      <c r="P2" s="663" t="s">
        <v>156</v>
      </c>
      <c r="Q2" s="799"/>
      <c r="T2" s="52"/>
    </row>
    <row r="3" spans="1:21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4" t="s">
        <v>11</v>
      </c>
      <c r="H3" s="5" t="s">
        <v>12</v>
      </c>
      <c r="I3" s="813"/>
      <c r="J3" s="815"/>
      <c r="K3" s="817"/>
      <c r="L3" s="819"/>
      <c r="M3" s="821"/>
      <c r="N3" s="823"/>
      <c r="O3" s="437" t="s">
        <v>53</v>
      </c>
      <c r="P3" s="664" t="s">
        <v>53</v>
      </c>
      <c r="Q3" s="799"/>
      <c r="R3" s="49"/>
      <c r="S3" s="51"/>
      <c r="T3" s="6"/>
      <c r="U3" s="54"/>
    </row>
    <row r="4" spans="1:21" ht="40.049999999999997" customHeight="1" thickTop="1">
      <c r="A4" s="487">
        <v>46255</v>
      </c>
      <c r="B4" s="749" t="s">
        <v>13</v>
      </c>
      <c r="C4" s="750">
        <v>69443</v>
      </c>
      <c r="D4" s="13">
        <v>590266</v>
      </c>
      <c r="E4" s="423">
        <v>74404</v>
      </c>
      <c r="F4" s="423">
        <v>171129</v>
      </c>
      <c r="G4" s="423">
        <v>15897</v>
      </c>
      <c r="H4" s="423">
        <v>9061</v>
      </c>
      <c r="I4" s="423"/>
      <c r="J4" s="423">
        <f>D4+F4+H4+I4</f>
        <v>770456</v>
      </c>
      <c r="K4" s="489">
        <f>ROUND(J4*1.1,0)</f>
        <v>847502</v>
      </c>
      <c r="L4" s="756" t="s">
        <v>328</v>
      </c>
      <c r="M4" s="660"/>
      <c r="N4" s="661"/>
      <c r="O4" s="779">
        <v>324505</v>
      </c>
      <c r="P4" s="662">
        <f>M4+N4+O4</f>
        <v>324505</v>
      </c>
      <c r="Q4" s="3">
        <f>12348*5.5*1.1</f>
        <v>74705.400000000009</v>
      </c>
      <c r="R4" s="3"/>
    </row>
    <row r="5" spans="1:21" ht="40.049999999999997" customHeight="1">
      <c r="A5" s="461">
        <v>46262</v>
      </c>
      <c r="B5" s="755" t="s">
        <v>14</v>
      </c>
      <c r="C5" s="1012">
        <v>81517</v>
      </c>
      <c r="D5" s="1013">
        <v>692895</v>
      </c>
      <c r="E5" s="1014">
        <v>434000</v>
      </c>
      <c r="F5" s="1013">
        <v>868000</v>
      </c>
      <c r="G5" s="1014">
        <v>186000</v>
      </c>
      <c r="H5" s="1013">
        <v>64500</v>
      </c>
      <c r="I5" s="1013">
        <v>5000</v>
      </c>
      <c r="J5" s="1013">
        <f>SUM(D5,F5,H5,I5)</f>
        <v>1630395</v>
      </c>
      <c r="K5" s="1015">
        <f>ROUND(J5*1.1,0)</f>
        <v>1793435</v>
      </c>
      <c r="L5" s="1016" t="s">
        <v>332</v>
      </c>
      <c r="M5" s="1017"/>
      <c r="N5" s="1018"/>
      <c r="O5" s="780">
        <v>466713</v>
      </c>
      <c r="P5" s="659">
        <f>M5+N5+O5</f>
        <v>466713</v>
      </c>
      <c r="Q5" s="3"/>
      <c r="R5" s="3"/>
      <c r="U5" s="55"/>
    </row>
    <row r="6" spans="1:21" ht="8.4" customHeight="1">
      <c r="A6" s="465"/>
      <c r="B6" s="317"/>
      <c r="C6" s="171"/>
      <c r="D6" s="171"/>
      <c r="E6" s="171"/>
      <c r="F6" s="171"/>
      <c r="G6" s="171"/>
      <c r="H6" s="171"/>
      <c r="I6" s="171"/>
      <c r="J6" s="171"/>
      <c r="K6" s="777"/>
      <c r="L6" s="400"/>
      <c r="M6" s="445"/>
      <c r="N6" s="446"/>
      <c r="O6" s="667"/>
      <c r="P6" s="438"/>
      <c r="Q6" s="3"/>
      <c r="R6" s="3"/>
    </row>
    <row r="7" spans="1:21" ht="40.049999999999997" customHeight="1">
      <c r="A7" s="800" t="s">
        <v>16</v>
      </c>
      <c r="B7" s="801"/>
      <c r="C7" s="747"/>
      <c r="D7" s="22"/>
      <c r="E7" s="735">
        <v>40000</v>
      </c>
      <c r="F7" s="22">
        <v>160000</v>
      </c>
      <c r="G7" s="735"/>
      <c r="H7" s="22"/>
      <c r="I7" s="736"/>
      <c r="J7" s="22">
        <f>F7</f>
        <v>160000</v>
      </c>
      <c r="K7" s="748">
        <f t="shared" ref="K7:K20" si="0">ROUND(J7*1.1,0)</f>
        <v>176000</v>
      </c>
      <c r="L7" s="27" t="s">
        <v>285</v>
      </c>
      <c r="M7" s="753"/>
      <c r="N7" s="447"/>
      <c r="O7" s="774">
        <v>132000</v>
      </c>
      <c r="P7" s="675">
        <f>M7+N7+O7</f>
        <v>132000</v>
      </c>
      <c r="Q7" s="3"/>
      <c r="R7" s="3"/>
    </row>
    <row r="8" spans="1:21" ht="12.6" customHeight="1">
      <c r="A8" s="737"/>
      <c r="B8" s="723"/>
      <c r="C8" s="738"/>
      <c r="D8" s="739"/>
      <c r="E8" s="417"/>
      <c r="F8" s="337"/>
      <c r="G8" s="417"/>
      <c r="H8" s="337"/>
      <c r="I8" s="727"/>
      <c r="J8" s="738"/>
      <c r="K8" s="777"/>
      <c r="L8" s="729"/>
      <c r="M8" s="730"/>
      <c r="N8" s="730"/>
      <c r="O8" s="731"/>
      <c r="P8" s="455"/>
      <c r="Q8" s="3"/>
      <c r="R8" s="3"/>
    </row>
    <row r="9" spans="1:21" ht="40.049999999999997" customHeight="1">
      <c r="A9" s="804" t="s">
        <v>231</v>
      </c>
      <c r="B9" s="805"/>
      <c r="C9" s="699"/>
      <c r="D9" s="688"/>
      <c r="E9" s="689">
        <v>147320</v>
      </c>
      <c r="F9" s="688">
        <v>495427</v>
      </c>
      <c r="G9" s="689"/>
      <c r="H9" s="688"/>
      <c r="I9" s="690"/>
      <c r="J9" s="688">
        <v>495427</v>
      </c>
      <c r="K9" s="124">
        <f t="shared" si="0"/>
        <v>544970</v>
      </c>
      <c r="L9" s="345"/>
      <c r="M9" s="466">
        <v>6260</v>
      </c>
      <c r="N9" s="453"/>
      <c r="O9" s="668">
        <v>171280</v>
      </c>
      <c r="P9" s="455">
        <f>SUM(M9:O9)</f>
        <v>177540</v>
      </c>
      <c r="Q9" s="3"/>
      <c r="R9" s="3"/>
    </row>
    <row r="10" spans="1:21" ht="40.049999999999997" customHeight="1">
      <c r="A10" s="793" t="s">
        <v>323</v>
      </c>
      <c r="B10" s="794"/>
      <c r="C10" s="700"/>
      <c r="D10" s="692"/>
      <c r="E10" s="693">
        <v>57800</v>
      </c>
      <c r="F10" s="694">
        <v>194969</v>
      </c>
      <c r="G10" s="693"/>
      <c r="H10" s="694"/>
      <c r="I10" s="695"/>
      <c r="J10" s="694">
        <v>194969</v>
      </c>
      <c r="K10" s="114">
        <f t="shared" si="0"/>
        <v>214466</v>
      </c>
      <c r="L10" s="346"/>
      <c r="M10" s="443">
        <v>400</v>
      </c>
      <c r="N10" s="442"/>
      <c r="O10" s="669">
        <v>87140</v>
      </c>
      <c r="P10" s="456">
        <f t="shared" ref="P10:P20" si="1">M10+N10+O10</f>
        <v>87540</v>
      </c>
      <c r="Q10" s="3"/>
      <c r="R10" s="3"/>
    </row>
    <row r="11" spans="1:21" ht="40.049999999999997" customHeight="1">
      <c r="A11" s="793" t="s">
        <v>324</v>
      </c>
      <c r="B11" s="794"/>
      <c r="C11" s="700"/>
      <c r="D11" s="694"/>
      <c r="E11" s="694">
        <v>99630</v>
      </c>
      <c r="F11" s="694">
        <v>339260</v>
      </c>
      <c r="G11" s="694"/>
      <c r="H11" s="694"/>
      <c r="I11" s="694"/>
      <c r="J11" s="694">
        <v>339260</v>
      </c>
      <c r="K11" s="114">
        <f t="shared" si="0"/>
        <v>373186</v>
      </c>
      <c r="L11" s="346"/>
      <c r="M11" s="711"/>
      <c r="N11" s="712"/>
      <c r="O11" s="781">
        <v>80000</v>
      </c>
      <c r="P11" s="714">
        <f>M11+N11+O11</f>
        <v>80000</v>
      </c>
      <c r="Q11" s="57"/>
      <c r="R11" s="3"/>
    </row>
    <row r="12" spans="1:21" ht="40.049999999999997" customHeight="1">
      <c r="A12" s="793" t="s">
        <v>325</v>
      </c>
      <c r="B12" s="794"/>
      <c r="C12" s="757"/>
      <c r="D12" s="758"/>
      <c r="E12" s="758"/>
      <c r="F12" s="758"/>
      <c r="G12" s="758"/>
      <c r="H12" s="758"/>
      <c r="I12" s="758"/>
      <c r="J12" s="758"/>
      <c r="K12" s="114">
        <f t="shared" si="0"/>
        <v>0</v>
      </c>
      <c r="L12" s="346"/>
      <c r="M12" s="711"/>
      <c r="N12" s="712"/>
      <c r="O12" s="713"/>
      <c r="P12" s="714">
        <f>M12+N12+O12</f>
        <v>0</v>
      </c>
      <c r="Q12" s="57"/>
      <c r="R12" s="3"/>
    </row>
    <row r="13" spans="1:21" ht="40.049999999999997" customHeight="1">
      <c r="A13" s="793" t="s">
        <v>326</v>
      </c>
      <c r="B13" s="794"/>
      <c r="C13" s="757"/>
      <c r="D13" s="758"/>
      <c r="E13" s="758"/>
      <c r="F13" s="758"/>
      <c r="G13" s="758"/>
      <c r="H13" s="758"/>
      <c r="I13" s="758"/>
      <c r="J13" s="758"/>
      <c r="K13" s="137">
        <f t="shared" si="0"/>
        <v>0</v>
      </c>
      <c r="L13" s="346"/>
      <c r="M13" s="711"/>
      <c r="N13" s="712"/>
      <c r="O13" s="713"/>
      <c r="P13" s="714">
        <f>M13+N13+O13</f>
        <v>0</v>
      </c>
      <c r="Q13" s="57"/>
      <c r="R13" s="3"/>
    </row>
    <row r="14" spans="1:21" ht="10.8" customHeight="1">
      <c r="A14" s="465"/>
      <c r="B14" s="317"/>
      <c r="C14" s="171"/>
      <c r="D14" s="171"/>
      <c r="E14" s="171"/>
      <c r="F14" s="171"/>
      <c r="G14" s="171"/>
      <c r="H14" s="171"/>
      <c r="I14" s="171"/>
      <c r="J14" s="171"/>
      <c r="K14" s="777"/>
      <c r="L14" s="400"/>
      <c r="M14" s="319"/>
      <c r="N14" s="445"/>
      <c r="O14" s="667"/>
      <c r="P14" s="675"/>
      <c r="Q14" s="58"/>
      <c r="R14" s="3"/>
    </row>
    <row r="15" spans="1:21" s="1" customFormat="1" ht="40.049999999999997" customHeight="1">
      <c r="A15" s="795" t="s">
        <v>331</v>
      </c>
      <c r="B15" s="797" t="s">
        <v>117</v>
      </c>
      <c r="C15" s="163"/>
      <c r="D15" s="99"/>
      <c r="E15" s="140"/>
      <c r="F15" s="140"/>
      <c r="G15" s="140"/>
      <c r="H15" s="140"/>
      <c r="I15" s="99"/>
      <c r="J15" s="1019">
        <v>157725</v>
      </c>
      <c r="K15" s="124">
        <f t="shared" si="0"/>
        <v>173498</v>
      </c>
      <c r="L15" s="193" t="s">
        <v>276</v>
      </c>
      <c r="M15" s="782"/>
      <c r="N15" s="783"/>
      <c r="O15" s="784">
        <v>90000</v>
      </c>
      <c r="P15" s="786">
        <v>0</v>
      </c>
      <c r="Q15" s="58"/>
      <c r="R15" s="3"/>
      <c r="S15" s="50"/>
      <c r="U15" s="55"/>
    </row>
    <row r="16" spans="1:21" s="1" customFormat="1" ht="40.049999999999997" customHeight="1">
      <c r="A16" s="796"/>
      <c r="B16" s="798"/>
      <c r="C16" s="165"/>
      <c r="D16" s="135"/>
      <c r="E16" s="10"/>
      <c r="F16" s="10"/>
      <c r="G16" s="10"/>
      <c r="H16" s="10"/>
      <c r="I16" s="100"/>
      <c r="J16" s="1020">
        <v>78125</v>
      </c>
      <c r="K16" s="137">
        <f t="shared" si="0"/>
        <v>85938</v>
      </c>
      <c r="L16" s="33" t="s">
        <v>130</v>
      </c>
      <c r="M16" s="782"/>
      <c r="N16" s="783"/>
      <c r="O16" s="785"/>
      <c r="P16" s="787"/>
      <c r="Q16" s="47"/>
      <c r="R16" s="3"/>
      <c r="S16" s="50"/>
      <c r="U16" s="55"/>
    </row>
    <row r="17" spans="1:21" s="1" customFormat="1" ht="9.6" customHeight="1">
      <c r="A17" s="465"/>
      <c r="B17" s="376"/>
      <c r="C17" s="358"/>
      <c r="D17" s="358"/>
      <c r="E17" s="358"/>
      <c r="F17" s="358"/>
      <c r="G17" s="358"/>
      <c r="H17" s="358"/>
      <c r="I17" s="358"/>
      <c r="J17" s="358"/>
      <c r="K17" s="777"/>
      <c r="L17" s="356"/>
      <c r="M17" s="318"/>
      <c r="N17" s="319"/>
      <c r="O17" s="439"/>
      <c r="P17" s="439"/>
      <c r="Q17" s="47"/>
      <c r="R17" s="3"/>
      <c r="S17" s="50"/>
      <c r="U17" s="55"/>
    </row>
    <row r="18" spans="1:21" s="1" customFormat="1" ht="40.049999999999997" customHeight="1">
      <c r="A18" s="788" t="s">
        <v>327</v>
      </c>
      <c r="B18" s="402" t="s">
        <v>28</v>
      </c>
      <c r="C18" s="379">
        <f>C4+C5</f>
        <v>150960</v>
      </c>
      <c r="D18" s="379">
        <f>D4+D5</f>
        <v>1283161</v>
      </c>
      <c r="E18" s="379">
        <f>E4+E5+E7</f>
        <v>548404</v>
      </c>
      <c r="F18" s="379">
        <f>F4+F5+F7</f>
        <v>1199129</v>
      </c>
      <c r="G18" s="379">
        <f>G4+G5+G7</f>
        <v>201897</v>
      </c>
      <c r="H18" s="379">
        <f>H4+H5+H7</f>
        <v>73561</v>
      </c>
      <c r="I18" s="379">
        <f>I4+I5</f>
        <v>5000</v>
      </c>
      <c r="J18" s="379">
        <f>SUM(J4:J7)</f>
        <v>2560851</v>
      </c>
      <c r="K18" s="748">
        <f t="shared" si="0"/>
        <v>2816936</v>
      </c>
      <c r="L18" s="404" t="s">
        <v>131</v>
      </c>
      <c r="M18" s="451"/>
      <c r="N18" s="452"/>
      <c r="O18" s="671"/>
      <c r="P18" s="439">
        <f t="shared" si="1"/>
        <v>0</v>
      </c>
      <c r="Q18" s="47"/>
      <c r="R18" s="3"/>
      <c r="S18" s="50"/>
      <c r="U18" s="55"/>
    </row>
    <row r="19" spans="1:21" s="1" customFormat="1" ht="40.049999999999997" customHeight="1">
      <c r="A19" s="789"/>
      <c r="B19" s="791"/>
      <c r="C19" s="235"/>
      <c r="D19" s="235"/>
      <c r="E19" s="235">
        <f>E9+E10+E11+E12+E13</f>
        <v>304750</v>
      </c>
      <c r="F19" s="235">
        <f>F9+F10+F11+F12+F13</f>
        <v>1029656</v>
      </c>
      <c r="G19" s="235">
        <f>G9+G10+G11+G12+G13</f>
        <v>0</v>
      </c>
      <c r="H19" s="235">
        <f>H9+H10+H11+H12+H13</f>
        <v>0</v>
      </c>
      <c r="I19" s="235"/>
      <c r="J19" s="235">
        <f>J9+J10+J11+J12+J13</f>
        <v>1029656</v>
      </c>
      <c r="K19" s="114">
        <f>ROUND(J19*1.1,0)</f>
        <v>1132622</v>
      </c>
      <c r="L19" s="403" t="s">
        <v>132</v>
      </c>
      <c r="M19" s="476"/>
      <c r="N19" s="477"/>
      <c r="O19" s="672"/>
      <c r="P19" s="662">
        <f>M19+N19+O19</f>
        <v>0</v>
      </c>
      <c r="Q19" s="47"/>
      <c r="R19" s="3"/>
      <c r="S19" s="50"/>
      <c r="U19" s="55"/>
    </row>
    <row r="20" spans="1:21" s="1" customFormat="1" ht="40.049999999999997" customHeight="1" thickBot="1">
      <c r="A20" s="789"/>
      <c r="B20" s="792"/>
      <c r="C20" s="189"/>
      <c r="D20" s="189"/>
      <c r="E20" s="189">
        <f>SUM(E15:E16)</f>
        <v>0</v>
      </c>
      <c r="F20" s="189">
        <f>SUM(F15:F16)</f>
        <v>0</v>
      </c>
      <c r="G20" s="189">
        <f>SUM(G15:G16)</f>
        <v>0</v>
      </c>
      <c r="H20" s="189">
        <f>SUM(H15:H16)</f>
        <v>0</v>
      </c>
      <c r="I20" s="189"/>
      <c r="J20" s="189">
        <f>SUM(J15:J16)</f>
        <v>235850</v>
      </c>
      <c r="K20" s="778">
        <f t="shared" si="0"/>
        <v>259435</v>
      </c>
      <c r="L20" s="405" t="s">
        <v>330</v>
      </c>
      <c r="M20" s="468"/>
      <c r="N20" s="469"/>
      <c r="O20" s="673"/>
      <c r="P20" s="665">
        <f t="shared" si="1"/>
        <v>0</v>
      </c>
      <c r="Q20" s="47"/>
      <c r="R20" s="3"/>
      <c r="S20" s="50"/>
      <c r="U20" s="55"/>
    </row>
    <row r="21" spans="1:21" s="1" customFormat="1" ht="40.049999999999997" customHeight="1" thickTop="1" thickBot="1">
      <c r="A21" s="790"/>
      <c r="B21" s="471" t="s">
        <v>19</v>
      </c>
      <c r="C21" s="440"/>
      <c r="D21" s="440"/>
      <c r="E21" s="440">
        <f t="shared" ref="E21:K21" si="2">SUM(E18:E20)</f>
        <v>853154</v>
      </c>
      <c r="F21" s="440">
        <f t="shared" si="2"/>
        <v>2228785</v>
      </c>
      <c r="G21" s="440">
        <f t="shared" si="2"/>
        <v>201897</v>
      </c>
      <c r="H21" s="440">
        <f t="shared" si="2"/>
        <v>73561</v>
      </c>
      <c r="I21" s="440">
        <f t="shared" si="2"/>
        <v>5000</v>
      </c>
      <c r="J21" s="440">
        <f t="shared" si="2"/>
        <v>3826357</v>
      </c>
      <c r="K21" s="775">
        <f t="shared" si="2"/>
        <v>4208993</v>
      </c>
      <c r="L21" s="483"/>
      <c r="M21" s="440">
        <f>SUM(M4:M20)</f>
        <v>6660</v>
      </c>
      <c r="N21" s="458">
        <f>SUM(N4:N20)</f>
        <v>0</v>
      </c>
      <c r="O21" s="674">
        <f>SUM(O4:O20)</f>
        <v>1351638</v>
      </c>
      <c r="P21" s="679">
        <f>M21+N21+O21</f>
        <v>1358298</v>
      </c>
      <c r="Q21" s="47"/>
      <c r="R21" s="3"/>
      <c r="S21" s="50"/>
      <c r="U21" s="55"/>
    </row>
    <row r="22" spans="1:21" s="1" customFormat="1" ht="53.4" customHeight="1">
      <c r="A22"/>
      <c r="B22" s="40" t="s">
        <v>20</v>
      </c>
      <c r="J22" s="1" t="s">
        <v>333</v>
      </c>
      <c r="K22" s="41"/>
      <c r="L22" s="44"/>
      <c r="O22" s="48"/>
      <c r="P22" s="143"/>
      <c r="Q22" s="47"/>
      <c r="R22" s="48"/>
      <c r="S22" s="50"/>
      <c r="U22" s="55"/>
    </row>
    <row r="23" spans="1:21">
      <c r="N23" s="48"/>
    </row>
    <row r="24" spans="1:21" ht="30" customHeight="1"/>
    <row r="26" spans="1:21">
      <c r="L26" s="435"/>
    </row>
    <row r="27" spans="1:21">
      <c r="L27" s="435"/>
    </row>
    <row r="44" spans="1:21" s="48" customFormat="1">
      <c r="A44"/>
      <c r="B44" s="42"/>
      <c r="C44" s="1"/>
      <c r="D44" s="1"/>
      <c r="E44" s="1"/>
      <c r="F44" s="1"/>
      <c r="G44" s="1"/>
      <c r="H44" s="1"/>
      <c r="I44" s="1"/>
      <c r="J44" s="1"/>
      <c r="K44" s="36"/>
      <c r="L44" s="44"/>
      <c r="M44" s="1"/>
      <c r="N44" s="48" t="s">
        <v>51</v>
      </c>
      <c r="O44" s="48" t="s">
        <v>113</v>
      </c>
      <c r="P44" s="143"/>
      <c r="Q44" s="47"/>
      <c r="S44" s="50"/>
      <c r="T44" s="1"/>
      <c r="U44" s="53"/>
    </row>
  </sheetData>
  <mergeCells count="27">
    <mergeCell ref="A1:O1"/>
    <mergeCell ref="A2:A3"/>
    <mergeCell ref="B2:B3"/>
    <mergeCell ref="C2:D2"/>
    <mergeCell ref="E2:F2"/>
    <mergeCell ref="I2:I3"/>
    <mergeCell ref="J2:J3"/>
    <mergeCell ref="K2:K3"/>
    <mergeCell ref="L2:L3"/>
    <mergeCell ref="M2:M3"/>
    <mergeCell ref="N2:N3"/>
    <mergeCell ref="Q2:Q3"/>
    <mergeCell ref="A7:B7"/>
    <mergeCell ref="A10:B10"/>
    <mergeCell ref="G2:H2"/>
    <mergeCell ref="A9:B9"/>
    <mergeCell ref="A11:B11"/>
    <mergeCell ref="A12:B12"/>
    <mergeCell ref="A13:B13"/>
    <mergeCell ref="A15:A16"/>
    <mergeCell ref="B15:B16"/>
    <mergeCell ref="M15:M16"/>
    <mergeCell ref="N15:N16"/>
    <mergeCell ref="O15:O16"/>
    <mergeCell ref="P15:P16"/>
    <mergeCell ref="A18:A21"/>
    <mergeCell ref="B19:B20"/>
  </mergeCells>
  <phoneticPr fontId="3"/>
  <conditionalFormatting sqref="E11:H13 L11:L13">
    <cfRule type="expression" dxfId="746" priority="25">
      <formula>COUNTIF(#REF!,"*済*")</formula>
    </cfRule>
    <cfRule type="expression" dxfId="745" priority="26">
      <formula>COUNTIF(#REF!,"*一部*")</formula>
    </cfRule>
    <cfRule type="expression" dxfId="744" priority="27">
      <formula>COUNTIF(#REF!,"*未*")</formula>
    </cfRule>
  </conditionalFormatting>
  <conditionalFormatting sqref="E15:H16">
    <cfRule type="expression" dxfId="743" priority="4">
      <formula>COUNTIF(#REF!,"*済*")</formula>
    </cfRule>
    <cfRule type="expression" dxfId="742" priority="5">
      <formula>COUNTIF(#REF!,"*一部*")</formula>
    </cfRule>
    <cfRule type="expression" dxfId="741" priority="6">
      <formula>COUNTIF(#REF!,"*未*")</formula>
    </cfRule>
  </conditionalFormatting>
  <conditionalFormatting sqref="E9:I10">
    <cfRule type="expression" dxfId="740" priority="28">
      <formula>COUNTIF(#REF!,"*済*")</formula>
    </cfRule>
    <cfRule type="expression" dxfId="739" priority="29">
      <formula>COUNTIF(#REF!,"*一部*")</formula>
    </cfRule>
    <cfRule type="expression" dxfId="738" priority="30">
      <formula>COUNTIF(#REF!,"*未*")</formula>
    </cfRule>
  </conditionalFormatting>
  <conditionalFormatting sqref="E7:J8 L7:M10 J9:J13 C15:C16">
    <cfRule type="expression" dxfId="737" priority="14">
      <formula>COUNTIF(#REF!,"*一部*")</formula>
    </cfRule>
    <cfRule type="expression" dxfId="736" priority="15">
      <formula>COUNTIF(#REF!,"*未*")</formula>
    </cfRule>
  </conditionalFormatting>
  <conditionalFormatting sqref="E9:J10">
    <cfRule type="expression" dxfId="735" priority="24">
      <formula>COUNTIF(#REF!,"*未*")</formula>
    </cfRule>
    <cfRule type="expression" dxfId="734" priority="23">
      <formula>COUNTIF(#REF!,"*一部*")</formula>
    </cfRule>
    <cfRule type="expression" dxfId="733" priority="22">
      <formula>COUNTIF(#REF!,"*済*")</formula>
    </cfRule>
  </conditionalFormatting>
  <conditionalFormatting sqref="F11:F13 H11:H13">
    <cfRule type="expression" dxfId="732" priority="31">
      <formula>COUNTIF(#REF!,"*済*")</formula>
    </cfRule>
    <cfRule type="expression" dxfId="731" priority="32">
      <formula>COUNTIF(#REF!,"*一部*")</formula>
    </cfRule>
    <cfRule type="expression" dxfId="730" priority="33">
      <formula>COUNTIF(#REF!,"*未*")</formula>
    </cfRule>
    <cfRule type="expression" dxfId="729" priority="34">
      <formula>COUNTIF(#REF!,"*済*")</formula>
    </cfRule>
    <cfRule type="expression" dxfId="728" priority="35">
      <formula>COUNTIF(#REF!,"*一部*")</formula>
    </cfRule>
    <cfRule type="expression" dxfId="727" priority="36">
      <formula>COUNTIF(#REF!,"*未*")</formula>
    </cfRule>
  </conditionalFormatting>
  <conditionalFormatting sqref="F15:F16 H15:H16">
    <cfRule type="expression" dxfId="726" priority="7">
      <formula>COUNTIF(#REF!,"*済*")</formula>
    </cfRule>
    <cfRule type="expression" dxfId="725" priority="8">
      <formula>COUNTIF(#REF!,"*一部*")</formula>
    </cfRule>
    <cfRule type="expression" dxfId="724" priority="9">
      <formula>COUNTIF(#REF!,"*未*")</formula>
    </cfRule>
    <cfRule type="expression" dxfId="723" priority="10">
      <formula>COUNTIF(#REF!,"*済*")</formula>
    </cfRule>
    <cfRule type="expression" dxfId="722" priority="11">
      <formula>COUNTIF(#REF!,"*一部*")</formula>
    </cfRule>
    <cfRule type="expression" dxfId="721" priority="12">
      <formula>COUNTIF(#REF!,"*未*")</formula>
    </cfRule>
  </conditionalFormatting>
  <conditionalFormatting sqref="J7:J13 E7:I8 L7:M10 C15:C16">
    <cfRule type="expression" dxfId="720" priority="13">
      <formula>COUNTIF(#REF!,"*済*")</formula>
    </cfRule>
  </conditionalFormatting>
  <conditionalFormatting sqref="J9:J13">
    <cfRule type="expression" dxfId="719" priority="1">
      <formula>COUNTIF(#REF!,"*済*")</formula>
    </cfRule>
    <cfRule type="expression" dxfId="718" priority="2">
      <formula>COUNTIF(#REF!,"*一部*")</formula>
    </cfRule>
    <cfRule type="expression" dxfId="717" priority="3">
      <formula>COUNTIF(#REF!,"*未*")</formula>
    </cfRule>
  </conditionalFormatting>
  <conditionalFormatting sqref="J11:J13">
    <cfRule type="expression" dxfId="716" priority="19">
      <formula>COUNTIF(#REF!,"*済*")</formula>
    </cfRule>
    <cfRule type="expression" dxfId="715" priority="20">
      <formula>COUNTIF(#REF!,"*一部*")</formula>
    </cfRule>
    <cfRule type="expression" dxfId="714" priority="21">
      <formula>COUNTIF(#REF!,"*未*")</formula>
    </cfRule>
  </conditionalFormatting>
  <conditionalFormatting sqref="L15:L16">
    <cfRule type="expression" dxfId="713" priority="18">
      <formula>COUNTIF(#REF!,"*未*")</formula>
    </cfRule>
    <cfRule type="expression" dxfId="712" priority="17">
      <formula>COUNTIF(#REF!,"*一部*")</formula>
    </cfRule>
    <cfRule type="expression" dxfId="711" priority="16">
      <formula>COUNTIF(#REF!,"*済*")</formula>
    </cfRule>
  </conditionalFormatting>
  <conditionalFormatting sqref="L9:M10">
    <cfRule type="expression" dxfId="710" priority="37">
      <formula>COUNTIF(#REF!,"*済*")</formula>
    </cfRule>
    <cfRule type="expression" dxfId="709" priority="38">
      <formula>COUNTIF(#REF!,"*一部*")</formula>
    </cfRule>
    <cfRule type="expression" dxfId="708" priority="39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6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AD63-D3CD-4E04-8A58-23F238B88BC6}">
  <sheetPr>
    <pageSetUpPr fitToPage="1"/>
  </sheetPr>
  <dimension ref="A1:S48"/>
  <sheetViews>
    <sheetView topLeftCell="A16" zoomScaleNormal="100" workbookViewId="0">
      <selection activeCell="J10" sqref="J10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27.33203125" style="44" customWidth="1"/>
    <col min="11" max="12" width="10.77734375" style="1" customWidth="1"/>
    <col min="13" max="13" width="12.33203125" style="48" bestFit="1" customWidth="1"/>
    <col min="14" max="14" width="13.44140625" style="143" customWidth="1"/>
    <col min="15" max="15" width="13" style="47" customWidth="1"/>
    <col min="16" max="16" width="11.33203125" style="48" customWidth="1"/>
    <col min="17" max="17" width="9.109375" style="50" bestFit="1" customWidth="1"/>
    <col min="18" max="18" width="8.88671875" style="1"/>
    <col min="19" max="19" width="13.33203125" style="53" bestFit="1" customWidth="1"/>
  </cols>
  <sheetData>
    <row r="1" spans="1:19" ht="32.25" customHeight="1" thickBot="1">
      <c r="A1" s="806" t="s">
        <v>311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678"/>
    </row>
    <row r="2" spans="1:19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12" t="s">
        <v>5</v>
      </c>
      <c r="H2" s="814" t="s">
        <v>31</v>
      </c>
      <c r="I2" s="816" t="s">
        <v>6</v>
      </c>
      <c r="J2" s="818" t="s">
        <v>7</v>
      </c>
      <c r="K2" s="820" t="s">
        <v>8</v>
      </c>
      <c r="L2" s="822" t="s">
        <v>9</v>
      </c>
      <c r="M2" s="436" t="s">
        <v>52</v>
      </c>
      <c r="N2" s="663" t="s">
        <v>156</v>
      </c>
      <c r="O2" s="799"/>
      <c r="R2" s="52"/>
    </row>
    <row r="3" spans="1:19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437" t="s">
        <v>53</v>
      </c>
      <c r="N3" s="664" t="s">
        <v>53</v>
      </c>
      <c r="O3" s="799"/>
      <c r="P3" s="49"/>
      <c r="Q3" s="51"/>
      <c r="R3" s="6"/>
      <c r="S3" s="54"/>
    </row>
    <row r="4" spans="1:19" ht="40.049999999999997" customHeight="1" thickTop="1">
      <c r="A4" s="487">
        <v>46220</v>
      </c>
      <c r="B4" s="749" t="s">
        <v>13</v>
      </c>
      <c r="C4" s="750">
        <v>68867</v>
      </c>
      <c r="D4" s="13">
        <v>585370</v>
      </c>
      <c r="E4" s="423">
        <v>91180</v>
      </c>
      <c r="F4" s="423">
        <v>205588</v>
      </c>
      <c r="G4" s="423"/>
      <c r="H4" s="423">
        <f>D4+F4+G4</f>
        <v>790958</v>
      </c>
      <c r="I4" s="489">
        <f>ROUND(H4*1.1,0)</f>
        <v>870054</v>
      </c>
      <c r="J4" s="756" t="s">
        <v>315</v>
      </c>
      <c r="K4" s="660">
        <v>5120</v>
      </c>
      <c r="L4" s="661">
        <v>7056</v>
      </c>
      <c r="M4" s="666">
        <v>236795</v>
      </c>
      <c r="N4" s="662">
        <f>K4+L4+M4</f>
        <v>248971</v>
      </c>
      <c r="O4" s="3">
        <f>12348*5.5*1.1</f>
        <v>74705.400000000009</v>
      </c>
      <c r="P4" s="3"/>
    </row>
    <row r="5" spans="1:19" ht="40.049999999999997" customHeight="1">
      <c r="A5" s="461">
        <v>46227</v>
      </c>
      <c r="B5" s="755" t="s">
        <v>14</v>
      </c>
      <c r="C5" s="165">
        <v>81517</v>
      </c>
      <c r="D5" s="10">
        <v>692895</v>
      </c>
      <c r="E5" s="491">
        <v>319605</v>
      </c>
      <c r="F5" s="10">
        <v>646635</v>
      </c>
      <c r="G5" s="10">
        <v>5000</v>
      </c>
      <c r="H5" s="10">
        <f>SUM(D5,F5,G5)</f>
        <v>1344530</v>
      </c>
      <c r="I5" s="137">
        <f>ROUND(H5*1.1,0)</f>
        <v>1478983</v>
      </c>
      <c r="J5" s="425" t="s">
        <v>316</v>
      </c>
      <c r="K5" s="462">
        <v>8000</v>
      </c>
      <c r="L5" s="463">
        <v>7283</v>
      </c>
      <c r="M5" s="464">
        <v>371574</v>
      </c>
      <c r="N5" s="659">
        <f>K5+L5+M5</f>
        <v>386857</v>
      </c>
      <c r="O5" s="3"/>
      <c r="P5" s="3"/>
      <c r="S5" s="55"/>
    </row>
    <row r="6" spans="1:19" ht="8.4" customHeight="1">
      <c r="A6" s="465"/>
      <c r="B6" s="317"/>
      <c r="C6" s="171"/>
      <c r="D6" s="171"/>
      <c r="E6" s="171"/>
      <c r="F6" s="171"/>
      <c r="G6" s="171"/>
      <c r="H6" s="171"/>
      <c r="I6" s="777"/>
      <c r="J6" s="400"/>
      <c r="K6" s="445"/>
      <c r="L6" s="446"/>
      <c r="M6" s="667"/>
      <c r="N6" s="438"/>
      <c r="O6" s="3"/>
      <c r="P6" s="3"/>
    </row>
    <row r="7" spans="1:19" ht="40.049999999999997" customHeight="1">
      <c r="A7" s="800" t="s">
        <v>16</v>
      </c>
      <c r="B7" s="801"/>
      <c r="C7" s="747"/>
      <c r="D7" s="22"/>
      <c r="E7" s="735">
        <v>10000</v>
      </c>
      <c r="F7" s="22">
        <v>40000</v>
      </c>
      <c r="G7" s="736"/>
      <c r="H7" s="22">
        <f>F7</f>
        <v>40000</v>
      </c>
      <c r="I7" s="748">
        <f t="shared" ref="I7:I24" si="0">ROUND(H7*1.1,0)</f>
        <v>44000</v>
      </c>
      <c r="J7" s="27" t="s">
        <v>285</v>
      </c>
      <c r="K7" s="753"/>
      <c r="L7" s="447"/>
      <c r="M7" s="774">
        <v>33000</v>
      </c>
      <c r="N7" s="675">
        <f>K7+L7+M7</f>
        <v>33000</v>
      </c>
      <c r="O7" s="3"/>
      <c r="P7" s="3"/>
    </row>
    <row r="8" spans="1:19" ht="12.6" customHeight="1">
      <c r="A8" s="725"/>
      <c r="B8" s="724"/>
      <c r="C8" s="726"/>
      <c r="D8" s="726"/>
      <c r="E8" s="145"/>
      <c r="F8" s="726"/>
      <c r="G8" s="732"/>
      <c r="H8" s="726"/>
      <c r="I8" s="777"/>
      <c r="J8" s="733"/>
      <c r="K8" s="306"/>
      <c r="L8" s="306"/>
      <c r="M8" s="734"/>
      <c r="N8" s="773"/>
      <c r="O8" s="3"/>
      <c r="P8" s="3"/>
    </row>
    <row r="9" spans="1:19" ht="40.049999999999997" customHeight="1">
      <c r="A9" s="829" t="s">
        <v>306</v>
      </c>
      <c r="B9" s="830"/>
      <c r="C9" s="764"/>
      <c r="D9" s="765"/>
      <c r="E9" s="766">
        <v>8000</v>
      </c>
      <c r="F9" s="765">
        <v>36000</v>
      </c>
      <c r="G9" s="767"/>
      <c r="H9" s="765">
        <v>36000</v>
      </c>
      <c r="I9" s="196">
        <f t="shared" si="0"/>
        <v>39600</v>
      </c>
      <c r="J9" s="768" t="s">
        <v>320</v>
      </c>
      <c r="K9" s="770"/>
      <c r="L9" s="771"/>
      <c r="M9" s="772">
        <v>17000</v>
      </c>
      <c r="N9" s="769">
        <f>K9+L9+M9</f>
        <v>17000</v>
      </c>
      <c r="O9" s="3"/>
      <c r="P9" s="3"/>
    </row>
    <row r="10" spans="1:19" ht="40.049999999999997" customHeight="1">
      <c r="A10" s="827" t="s">
        <v>306</v>
      </c>
      <c r="B10" s="828"/>
      <c r="C10" s="759"/>
      <c r="D10" s="31"/>
      <c r="E10" s="760">
        <v>21920</v>
      </c>
      <c r="F10" s="31">
        <v>74528</v>
      </c>
      <c r="G10" s="761"/>
      <c r="H10" s="31">
        <v>74528</v>
      </c>
      <c r="I10" s="137">
        <f t="shared" si="0"/>
        <v>81981</v>
      </c>
      <c r="J10" s="347" t="s">
        <v>321</v>
      </c>
      <c r="K10" s="762"/>
      <c r="L10" s="763"/>
      <c r="M10" s="731">
        <v>0</v>
      </c>
      <c r="N10" s="722">
        <f>K10+L10+M10</f>
        <v>0</v>
      </c>
      <c r="O10" s="3"/>
      <c r="P10" s="3"/>
    </row>
    <row r="11" spans="1:19" ht="12.6" customHeight="1">
      <c r="A11" s="737"/>
      <c r="B11" s="723"/>
      <c r="C11" s="738"/>
      <c r="D11" s="739"/>
      <c r="E11" s="417"/>
      <c r="F11" s="337"/>
      <c r="G11" s="727"/>
      <c r="H11" s="738"/>
      <c r="I11" s="777"/>
      <c r="J11" s="729"/>
      <c r="K11" s="730"/>
      <c r="L11" s="730"/>
      <c r="M11" s="731"/>
      <c r="N11" s="455"/>
      <c r="O11" s="3"/>
      <c r="P11" s="3"/>
    </row>
    <row r="12" spans="1:19" ht="40.049999999999997" customHeight="1">
      <c r="A12" s="804" t="s">
        <v>219</v>
      </c>
      <c r="B12" s="805"/>
      <c r="C12" s="699"/>
      <c r="D12" s="688"/>
      <c r="E12" s="689">
        <v>120040</v>
      </c>
      <c r="F12" s="688">
        <v>376427</v>
      </c>
      <c r="G12" s="690"/>
      <c r="H12" s="688">
        <v>376427</v>
      </c>
      <c r="I12" s="124">
        <f t="shared" si="0"/>
        <v>414070</v>
      </c>
      <c r="J12" s="345"/>
      <c r="K12" s="466">
        <v>3800</v>
      </c>
      <c r="L12" s="453">
        <v>2194</v>
      </c>
      <c r="M12" s="668">
        <v>146410</v>
      </c>
      <c r="N12" s="455">
        <f>SUM(K12:M12)</f>
        <v>152404</v>
      </c>
      <c r="O12" s="3"/>
      <c r="P12" s="3"/>
    </row>
    <row r="13" spans="1:19" ht="40.049999999999997" customHeight="1">
      <c r="A13" s="793" t="s">
        <v>312</v>
      </c>
      <c r="B13" s="794"/>
      <c r="C13" s="700"/>
      <c r="D13" s="692"/>
      <c r="E13" s="693">
        <v>136450</v>
      </c>
      <c r="F13" s="694">
        <v>476318</v>
      </c>
      <c r="G13" s="695"/>
      <c r="H13" s="694">
        <v>476318</v>
      </c>
      <c r="I13" s="114">
        <f t="shared" si="0"/>
        <v>523950</v>
      </c>
      <c r="J13" s="346"/>
      <c r="K13" s="443">
        <v>2367</v>
      </c>
      <c r="L13" s="442">
        <v>8040</v>
      </c>
      <c r="M13" s="669">
        <v>182809</v>
      </c>
      <c r="N13" s="456">
        <f t="shared" ref="N13:N24" si="1">K13+L13+M13</f>
        <v>193216</v>
      </c>
      <c r="O13" s="3"/>
      <c r="P13" s="3"/>
    </row>
    <row r="14" spans="1:19" ht="40.049999999999997" customHeight="1">
      <c r="A14" s="793" t="s">
        <v>313</v>
      </c>
      <c r="B14" s="794"/>
      <c r="C14" s="700"/>
      <c r="D14" s="694"/>
      <c r="E14" s="694">
        <v>63800</v>
      </c>
      <c r="F14" s="694">
        <v>224876</v>
      </c>
      <c r="G14" s="694"/>
      <c r="H14" s="694">
        <v>224876</v>
      </c>
      <c r="I14" s="114">
        <f t="shared" si="0"/>
        <v>247364</v>
      </c>
      <c r="J14" s="346"/>
      <c r="K14" s="711">
        <v>3560</v>
      </c>
      <c r="L14" s="712">
        <v>138</v>
      </c>
      <c r="M14" s="713">
        <v>81869</v>
      </c>
      <c r="N14" s="714">
        <f>K14+L14+M14</f>
        <v>85567</v>
      </c>
      <c r="O14" s="57"/>
      <c r="P14" s="3"/>
    </row>
    <row r="15" spans="1:19" ht="40.049999999999997" customHeight="1">
      <c r="A15" s="793" t="s">
        <v>314</v>
      </c>
      <c r="B15" s="794"/>
      <c r="C15" s="757"/>
      <c r="D15" s="758"/>
      <c r="E15" s="758">
        <v>30160</v>
      </c>
      <c r="F15" s="758">
        <v>104657</v>
      </c>
      <c r="G15" s="758"/>
      <c r="H15" s="758">
        <v>104657</v>
      </c>
      <c r="I15" s="114">
        <f t="shared" si="0"/>
        <v>115123</v>
      </c>
      <c r="J15" s="346"/>
      <c r="K15" s="711">
        <v>1300</v>
      </c>
      <c r="L15" s="712"/>
      <c r="M15" s="713">
        <v>54330</v>
      </c>
      <c r="N15" s="714">
        <f>K15+L15+M15</f>
        <v>55630</v>
      </c>
      <c r="O15" s="57"/>
      <c r="P15" s="3"/>
    </row>
    <row r="16" spans="1:19" ht="40.049999999999997" customHeight="1">
      <c r="A16" s="793" t="s">
        <v>319</v>
      </c>
      <c r="B16" s="794"/>
      <c r="C16" s="757"/>
      <c r="D16" s="758"/>
      <c r="E16" s="758">
        <v>101390</v>
      </c>
      <c r="F16" s="758">
        <v>349288</v>
      </c>
      <c r="G16" s="758"/>
      <c r="H16" s="758">
        <v>349288</v>
      </c>
      <c r="I16" s="137">
        <f t="shared" si="0"/>
        <v>384217</v>
      </c>
      <c r="J16" s="346"/>
      <c r="K16" s="711">
        <v>10330</v>
      </c>
      <c r="L16" s="712"/>
      <c r="M16" s="713">
        <v>101838</v>
      </c>
      <c r="N16" s="714">
        <f>K16+L16+M16</f>
        <v>112168</v>
      </c>
      <c r="O16" s="57"/>
      <c r="P16" s="3"/>
    </row>
    <row r="17" spans="1:19" ht="10.8" customHeight="1">
      <c r="A17" s="465"/>
      <c r="B17" s="317"/>
      <c r="C17" s="171"/>
      <c r="D17" s="171"/>
      <c r="E17" s="171"/>
      <c r="F17" s="171"/>
      <c r="G17" s="171"/>
      <c r="H17" s="171"/>
      <c r="I17" s="777"/>
      <c r="J17" s="400"/>
      <c r="K17" s="319"/>
      <c r="L17" s="445"/>
      <c r="M17" s="667"/>
      <c r="N17" s="675"/>
      <c r="O17" s="58"/>
      <c r="P17" s="3"/>
    </row>
    <row r="18" spans="1:19" s="1" customFormat="1" ht="40.049999999999997" customHeight="1">
      <c r="A18" s="795" t="s">
        <v>317</v>
      </c>
      <c r="B18" s="797" t="s">
        <v>117</v>
      </c>
      <c r="C18" s="163">
        <v>7350</v>
      </c>
      <c r="D18" s="99">
        <v>73500</v>
      </c>
      <c r="E18" s="140">
        <v>56150</v>
      </c>
      <c r="F18" s="140">
        <v>84225</v>
      </c>
      <c r="G18" s="99"/>
      <c r="H18" s="99">
        <v>157725</v>
      </c>
      <c r="I18" s="124">
        <f t="shared" si="0"/>
        <v>173498</v>
      </c>
      <c r="J18" s="193" t="s">
        <v>276</v>
      </c>
      <c r="K18" s="782"/>
      <c r="L18" s="783"/>
      <c r="M18" s="824">
        <v>87186</v>
      </c>
      <c r="N18" s="786">
        <f>K18+L18+M18</f>
        <v>87186</v>
      </c>
      <c r="O18" s="58"/>
      <c r="P18" s="3"/>
      <c r="Q18" s="50"/>
      <c r="S18" s="55"/>
    </row>
    <row r="19" spans="1:19" s="1" customFormat="1" ht="40.049999999999997" customHeight="1">
      <c r="A19" s="796"/>
      <c r="B19" s="798"/>
      <c r="C19" s="165">
        <v>5000</v>
      </c>
      <c r="D19" s="135">
        <v>50000</v>
      </c>
      <c r="E19" s="10">
        <v>18750</v>
      </c>
      <c r="F19" s="10">
        <v>28125</v>
      </c>
      <c r="G19" s="100"/>
      <c r="H19" s="135">
        <v>78125</v>
      </c>
      <c r="I19" s="137">
        <f t="shared" si="0"/>
        <v>85938</v>
      </c>
      <c r="J19" s="33" t="s">
        <v>130</v>
      </c>
      <c r="K19" s="782"/>
      <c r="L19" s="783"/>
      <c r="M19" s="824"/>
      <c r="N19" s="787"/>
      <c r="O19" s="47"/>
      <c r="P19" s="3"/>
      <c r="Q19" s="50"/>
      <c r="S19" s="55"/>
    </row>
    <row r="20" spans="1:19" s="1" customFormat="1" ht="9.6" customHeight="1">
      <c r="A20" s="465"/>
      <c r="B20" s="376"/>
      <c r="C20" s="358"/>
      <c r="D20" s="358"/>
      <c r="E20" s="358"/>
      <c r="F20" s="358"/>
      <c r="G20" s="358"/>
      <c r="H20" s="358"/>
      <c r="I20" s="777"/>
      <c r="J20" s="356"/>
      <c r="K20" s="318"/>
      <c r="L20" s="319"/>
      <c r="M20" s="439"/>
      <c r="N20" s="439"/>
      <c r="O20" s="47"/>
      <c r="P20" s="3"/>
      <c r="Q20" s="50"/>
      <c r="S20" s="55"/>
    </row>
    <row r="21" spans="1:19" s="1" customFormat="1" ht="40.049999999999997" customHeight="1">
      <c r="A21" s="788" t="s">
        <v>224</v>
      </c>
      <c r="B21" s="402" t="s">
        <v>28</v>
      </c>
      <c r="C21" s="379">
        <f>C4+C5</f>
        <v>150384</v>
      </c>
      <c r="D21" s="379">
        <f>D4+D5</f>
        <v>1278265</v>
      </c>
      <c r="E21" s="379">
        <f>E4+E5+E7</f>
        <v>420785</v>
      </c>
      <c r="F21" s="379">
        <f>F4+F5+F7</f>
        <v>892223</v>
      </c>
      <c r="G21" s="379">
        <f>G4+G5</f>
        <v>5000</v>
      </c>
      <c r="H21" s="379">
        <f>SUM(H4:H7)</f>
        <v>2175488</v>
      </c>
      <c r="I21" s="748">
        <f t="shared" si="0"/>
        <v>2393037</v>
      </c>
      <c r="J21" s="404" t="s">
        <v>131</v>
      </c>
      <c r="K21" s="451"/>
      <c r="L21" s="452"/>
      <c r="M21" s="671"/>
      <c r="N21" s="439">
        <f t="shared" si="1"/>
        <v>0</v>
      </c>
      <c r="O21" s="47"/>
      <c r="P21" s="3"/>
      <c r="Q21" s="50"/>
      <c r="S21" s="55"/>
    </row>
    <row r="22" spans="1:19" s="1" customFormat="1" ht="40.049999999999997" customHeight="1">
      <c r="A22" s="825"/>
      <c r="B22" s="826" t="s">
        <v>5</v>
      </c>
      <c r="C22" s="741"/>
      <c r="D22" s="187"/>
      <c r="E22" s="187">
        <f>SUM(E10+E9)</f>
        <v>29920</v>
      </c>
      <c r="F22" s="187">
        <f>SUM(F10+F9)</f>
        <v>110528</v>
      </c>
      <c r="G22" s="187"/>
      <c r="H22" s="187">
        <f>SUM(H10+H9)</f>
        <v>110528</v>
      </c>
      <c r="I22" s="776">
        <f t="shared" si="0"/>
        <v>121581</v>
      </c>
      <c r="J22" s="743" t="s">
        <v>306</v>
      </c>
      <c r="K22" s="744"/>
      <c r="L22" s="745"/>
      <c r="M22" s="746"/>
      <c r="N22" s="662">
        <f>K22+L22+M22</f>
        <v>0</v>
      </c>
      <c r="O22" s="47"/>
      <c r="P22" s="3"/>
      <c r="Q22" s="50"/>
      <c r="S22" s="55"/>
    </row>
    <row r="23" spans="1:19" s="1" customFormat="1" ht="40.049999999999997" customHeight="1">
      <c r="A23" s="789"/>
      <c r="B23" s="791"/>
      <c r="C23" s="235"/>
      <c r="D23" s="235"/>
      <c r="E23" s="235">
        <f>E12+E13+E14+E15+E16</f>
        <v>451840</v>
      </c>
      <c r="F23" s="235">
        <f>F12+F13+F14+F15+F16</f>
        <v>1531566</v>
      </c>
      <c r="G23" s="235"/>
      <c r="H23" s="235">
        <f>H12+H13+H14+H15+H16</f>
        <v>1531566</v>
      </c>
      <c r="I23" s="114">
        <f t="shared" si="0"/>
        <v>1684723</v>
      </c>
      <c r="J23" s="403" t="s">
        <v>132</v>
      </c>
      <c r="K23" s="476"/>
      <c r="L23" s="477"/>
      <c r="M23" s="672"/>
      <c r="N23" s="662">
        <f>K23+L23+M23</f>
        <v>0</v>
      </c>
      <c r="O23" s="47"/>
      <c r="P23" s="3"/>
      <c r="Q23" s="50"/>
      <c r="S23" s="55"/>
    </row>
    <row r="24" spans="1:19" s="1" customFormat="1" ht="40.049999999999997" customHeight="1" thickBot="1">
      <c r="A24" s="789"/>
      <c r="B24" s="792"/>
      <c r="C24" s="189"/>
      <c r="D24" s="189"/>
      <c r="E24" s="189">
        <f>SUM(E18:E19)</f>
        <v>74900</v>
      </c>
      <c r="F24" s="189">
        <f>SUM(F18:F19)</f>
        <v>112350</v>
      </c>
      <c r="G24" s="189"/>
      <c r="H24" s="189">
        <f>SUM(H18:H19)</f>
        <v>235850</v>
      </c>
      <c r="I24" s="778">
        <f t="shared" si="0"/>
        <v>259435</v>
      </c>
      <c r="J24" s="405" t="s">
        <v>318</v>
      </c>
      <c r="K24" s="468"/>
      <c r="L24" s="469"/>
      <c r="M24" s="673"/>
      <c r="N24" s="665">
        <f t="shared" si="1"/>
        <v>0</v>
      </c>
      <c r="O24" s="47"/>
      <c r="P24" s="3"/>
      <c r="Q24" s="50"/>
      <c r="S24" s="55"/>
    </row>
    <row r="25" spans="1:19" s="1" customFormat="1" ht="40.049999999999997" customHeight="1" thickTop="1" thickBot="1">
      <c r="A25" s="790"/>
      <c r="B25" s="471" t="s">
        <v>19</v>
      </c>
      <c r="C25" s="440"/>
      <c r="D25" s="440"/>
      <c r="E25" s="440">
        <f>SUM(E21:E24)</f>
        <v>977445</v>
      </c>
      <c r="F25" s="440">
        <f>SUM(F21:F24)</f>
        <v>2646667</v>
      </c>
      <c r="G25" s="440">
        <f>SUM(G21:G24)</f>
        <v>5000</v>
      </c>
      <c r="H25" s="440">
        <f>SUM(H21:H24)</f>
        <v>4053432</v>
      </c>
      <c r="I25" s="775">
        <f>SUM(I21:I24)</f>
        <v>4458776</v>
      </c>
      <c r="J25" s="483"/>
      <c r="K25" s="440">
        <f>SUM(K4:K24)</f>
        <v>34477</v>
      </c>
      <c r="L25" s="458">
        <f>SUM(L4:L24)</f>
        <v>24711</v>
      </c>
      <c r="M25" s="674">
        <f>SUM(M4:M24)</f>
        <v>1312811</v>
      </c>
      <c r="N25" s="679">
        <f>K25+L25+M25</f>
        <v>1371999</v>
      </c>
      <c r="O25" s="47"/>
      <c r="P25" s="3"/>
      <c r="Q25" s="50"/>
      <c r="S25" s="55"/>
    </row>
    <row r="26" spans="1:19" s="1" customFormat="1" ht="53.4" customHeight="1">
      <c r="A26"/>
      <c r="B26" s="40" t="s">
        <v>20</v>
      </c>
      <c r="I26" s="41"/>
      <c r="J26" s="44"/>
      <c r="M26" s="48"/>
      <c r="N26" s="143"/>
      <c r="O26" s="47"/>
      <c r="P26" s="48"/>
      <c r="Q26" s="50"/>
      <c r="S26" s="55"/>
    </row>
    <row r="27" spans="1:19">
      <c r="L27" s="48"/>
    </row>
    <row r="28" spans="1:19" ht="30" customHeight="1"/>
    <row r="30" spans="1:19">
      <c r="J30" s="435"/>
    </row>
    <row r="31" spans="1:19">
      <c r="J31" s="435"/>
    </row>
    <row r="48" spans="1:19" s="48" customFormat="1">
      <c r="A48"/>
      <c r="B48" s="42"/>
      <c r="C48" s="1"/>
      <c r="D48" s="1"/>
      <c r="E48" s="1"/>
      <c r="F48" s="1"/>
      <c r="G48" s="1"/>
      <c r="H48" s="1"/>
      <c r="I48" s="36"/>
      <c r="J48" s="44"/>
      <c r="K48" s="1"/>
      <c r="L48" s="48" t="s">
        <v>51</v>
      </c>
      <c r="M48" s="48" t="s">
        <v>113</v>
      </c>
      <c r="N48" s="143"/>
      <c r="O48" s="47"/>
      <c r="Q48" s="50"/>
      <c r="R48" s="1"/>
      <c r="S48" s="53"/>
    </row>
  </sheetData>
  <mergeCells count="28"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  <mergeCell ref="O2:O3"/>
    <mergeCell ref="A7:B7"/>
    <mergeCell ref="A10:B10"/>
    <mergeCell ref="A13:B13"/>
    <mergeCell ref="A12:B12"/>
    <mergeCell ref="A9:B9"/>
    <mergeCell ref="A14:B14"/>
    <mergeCell ref="A18:A19"/>
    <mergeCell ref="B18:B19"/>
    <mergeCell ref="L18:L19"/>
    <mergeCell ref="A16:B16"/>
    <mergeCell ref="A15:B15"/>
    <mergeCell ref="M18:M19"/>
    <mergeCell ref="N18:N19"/>
    <mergeCell ref="A21:A25"/>
    <mergeCell ref="B22:B24"/>
    <mergeCell ref="K18:K19"/>
  </mergeCells>
  <phoneticPr fontId="3"/>
  <conditionalFormatting sqref="E14:F16 J14:J16">
    <cfRule type="expression" dxfId="707" priority="37">
      <formula>COUNTIF(#REF!,"*済*")</formula>
    </cfRule>
    <cfRule type="expression" dxfId="706" priority="38">
      <formula>COUNTIF(#REF!,"*一部*")</formula>
    </cfRule>
    <cfRule type="expression" dxfId="705" priority="39">
      <formula>COUNTIF(#REF!,"*未*")</formula>
    </cfRule>
  </conditionalFormatting>
  <conditionalFormatting sqref="E18:F19">
    <cfRule type="expression" dxfId="704" priority="13">
      <formula>COUNTIF(#REF!,"*済*")</formula>
    </cfRule>
    <cfRule type="expression" dxfId="703" priority="14">
      <formula>COUNTIF(#REF!,"*一部*")</formula>
    </cfRule>
    <cfRule type="expression" dxfId="702" priority="15">
      <formula>COUNTIF(#REF!,"*未*")</formula>
    </cfRule>
  </conditionalFormatting>
  <conditionalFormatting sqref="E12:G13">
    <cfRule type="expression" dxfId="701" priority="40">
      <formula>COUNTIF(#REF!,"*済*")</formula>
    </cfRule>
    <cfRule type="expression" dxfId="700" priority="41">
      <formula>COUNTIF(#REF!,"*一部*")</formula>
    </cfRule>
    <cfRule type="expression" dxfId="699" priority="42">
      <formula>COUNTIF(#REF!,"*未*")</formula>
    </cfRule>
  </conditionalFormatting>
  <conditionalFormatting sqref="E7:H11 J7:K13 H7:H16 C18:C19">
    <cfRule type="expression" dxfId="698" priority="23">
      <formula>COUNTIF(#REF!,"*一部*")</formula>
    </cfRule>
    <cfRule type="expression" dxfId="697" priority="24">
      <formula>COUNTIF(#REF!,"*未*")</formula>
    </cfRule>
  </conditionalFormatting>
  <conditionalFormatting sqref="E12:H13">
    <cfRule type="expression" dxfId="696" priority="36">
      <formula>COUNTIF(#REF!,"*未*")</formula>
    </cfRule>
    <cfRule type="expression" dxfId="695" priority="35">
      <formula>COUNTIF(#REF!,"*一部*")</formula>
    </cfRule>
    <cfRule type="expression" dxfId="694" priority="34">
      <formula>COUNTIF(#REF!,"*済*")</formula>
    </cfRule>
  </conditionalFormatting>
  <conditionalFormatting sqref="F14:F16">
    <cfRule type="expression" dxfId="693" priority="43">
      <formula>COUNTIF(#REF!,"*済*")</formula>
    </cfRule>
    <cfRule type="expression" dxfId="692" priority="44">
      <formula>COUNTIF(#REF!,"*一部*")</formula>
    </cfRule>
    <cfRule type="expression" dxfId="691" priority="45">
      <formula>COUNTIF(#REF!,"*未*")</formula>
    </cfRule>
    <cfRule type="expression" dxfId="690" priority="46">
      <formula>COUNTIF(#REF!,"*済*")</formula>
    </cfRule>
    <cfRule type="expression" dxfId="689" priority="47">
      <formula>COUNTIF(#REF!,"*一部*")</formula>
    </cfRule>
    <cfRule type="expression" dxfId="688" priority="48">
      <formula>COUNTIF(#REF!,"*未*")</formula>
    </cfRule>
  </conditionalFormatting>
  <conditionalFormatting sqref="F18:F19">
    <cfRule type="expression" dxfId="687" priority="16">
      <formula>COUNTIF(#REF!,"*済*")</formula>
    </cfRule>
    <cfRule type="expression" dxfId="686" priority="17">
      <formula>COUNTIF(#REF!,"*一部*")</formula>
    </cfRule>
    <cfRule type="expression" dxfId="685" priority="18">
      <formula>COUNTIF(#REF!,"*未*")</formula>
    </cfRule>
    <cfRule type="expression" dxfId="684" priority="19">
      <formula>COUNTIF(#REF!,"*済*")</formula>
    </cfRule>
    <cfRule type="expression" dxfId="683" priority="20">
      <formula>COUNTIF(#REF!,"*一部*")</formula>
    </cfRule>
    <cfRule type="expression" dxfId="682" priority="21">
      <formula>COUNTIF(#REF!,"*未*")</formula>
    </cfRule>
  </conditionalFormatting>
  <conditionalFormatting sqref="H7:H16 E7:H11 J7:K13 C18:C19">
    <cfRule type="expression" dxfId="681" priority="22">
      <formula>COUNTIF(#REF!,"*済*")</formula>
    </cfRule>
  </conditionalFormatting>
  <conditionalFormatting sqref="H12:H16">
    <cfRule type="expression" dxfId="680" priority="1">
      <formula>COUNTIF(#REF!,"*済*")</formula>
    </cfRule>
    <cfRule type="expression" dxfId="679" priority="2">
      <formula>COUNTIF(#REF!,"*一部*")</formula>
    </cfRule>
    <cfRule type="expression" dxfId="678" priority="3">
      <formula>COUNTIF(#REF!,"*未*")</formula>
    </cfRule>
  </conditionalFormatting>
  <conditionalFormatting sqref="H14:H16">
    <cfRule type="expression" dxfId="677" priority="31">
      <formula>COUNTIF(#REF!,"*済*")</formula>
    </cfRule>
    <cfRule type="expression" dxfId="676" priority="32">
      <formula>COUNTIF(#REF!,"*一部*")</formula>
    </cfRule>
    <cfRule type="expression" dxfId="675" priority="33">
      <formula>COUNTIF(#REF!,"*未*")</formula>
    </cfRule>
  </conditionalFormatting>
  <conditionalFormatting sqref="J18:J19">
    <cfRule type="expression" dxfId="674" priority="27">
      <formula>COUNTIF(#REF!,"*未*")</formula>
    </cfRule>
    <cfRule type="expression" dxfId="673" priority="26">
      <formula>COUNTIF(#REF!,"*一部*")</formula>
    </cfRule>
    <cfRule type="expression" dxfId="672" priority="25">
      <formula>COUNTIF(#REF!,"*済*")</formula>
    </cfRule>
  </conditionalFormatting>
  <conditionalFormatting sqref="J12:K13">
    <cfRule type="expression" dxfId="671" priority="49">
      <formula>COUNTIF(#REF!,"*済*")</formula>
    </cfRule>
    <cfRule type="expression" dxfId="670" priority="50">
      <formula>COUNTIF(#REF!,"*一部*")</formula>
    </cfRule>
    <cfRule type="expression" dxfId="669" priority="51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E9E4-9ABC-4953-8932-213532420728}">
  <sheetPr>
    <pageSetUpPr fitToPage="1"/>
  </sheetPr>
  <dimension ref="A1:S47"/>
  <sheetViews>
    <sheetView zoomScaleNormal="100" workbookViewId="0">
      <selection activeCell="I4" sqref="I4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27.33203125" style="44" customWidth="1"/>
    <col min="11" max="12" width="10.77734375" style="1" customWidth="1"/>
    <col min="13" max="13" width="12.33203125" style="48" bestFit="1" customWidth="1"/>
    <col min="14" max="14" width="13.44140625" style="143" customWidth="1"/>
    <col min="15" max="15" width="13" style="47" customWidth="1"/>
    <col min="16" max="16" width="11.33203125" style="48" customWidth="1"/>
    <col min="17" max="17" width="9.109375" style="50" bestFit="1" customWidth="1"/>
    <col min="18" max="18" width="8.88671875" style="1"/>
    <col min="19" max="19" width="13.33203125" style="53" bestFit="1" customWidth="1"/>
  </cols>
  <sheetData>
    <row r="1" spans="1:19" ht="32.25" customHeight="1" thickBot="1">
      <c r="A1" s="806" t="s">
        <v>301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678"/>
    </row>
    <row r="2" spans="1:19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12" t="s">
        <v>5</v>
      </c>
      <c r="H2" s="814" t="s">
        <v>31</v>
      </c>
      <c r="I2" s="816" t="s">
        <v>6</v>
      </c>
      <c r="J2" s="818" t="s">
        <v>7</v>
      </c>
      <c r="K2" s="820" t="s">
        <v>8</v>
      </c>
      <c r="L2" s="822" t="s">
        <v>9</v>
      </c>
      <c r="M2" s="436" t="s">
        <v>52</v>
      </c>
      <c r="N2" s="663" t="s">
        <v>156</v>
      </c>
      <c r="O2" s="799"/>
      <c r="R2" s="52"/>
    </row>
    <row r="3" spans="1:19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437" t="s">
        <v>53</v>
      </c>
      <c r="N3" s="664" t="s">
        <v>53</v>
      </c>
      <c r="O3" s="799"/>
      <c r="P3" s="49"/>
      <c r="Q3" s="51"/>
      <c r="R3" s="6"/>
      <c r="S3" s="54"/>
    </row>
    <row r="4" spans="1:19" ht="40.049999999999997" customHeight="1" thickTop="1">
      <c r="A4" s="487">
        <v>46192</v>
      </c>
      <c r="B4" s="749" t="s">
        <v>13</v>
      </c>
      <c r="C4" s="750">
        <v>68867</v>
      </c>
      <c r="D4" s="13">
        <v>585370</v>
      </c>
      <c r="E4" s="423">
        <v>136432</v>
      </c>
      <c r="F4" s="423">
        <v>255758</v>
      </c>
      <c r="G4" s="423"/>
      <c r="H4" s="423">
        <f>D4+F4+G4</f>
        <v>841128</v>
      </c>
      <c r="I4" s="489">
        <f>H4*1.1</f>
        <v>925240.8</v>
      </c>
      <c r="J4" s="428" t="s">
        <v>309</v>
      </c>
      <c r="K4" s="660">
        <v>6000</v>
      </c>
      <c r="L4" s="661">
        <v>4242</v>
      </c>
      <c r="M4" s="666">
        <v>270133</v>
      </c>
      <c r="N4" s="662">
        <f>K4+L4+M4</f>
        <v>280375</v>
      </c>
      <c r="O4" s="3"/>
      <c r="P4" s="3"/>
    </row>
    <row r="5" spans="1:19" ht="40.049999999999997" customHeight="1">
      <c r="A5" s="461">
        <v>46199</v>
      </c>
      <c r="B5" s="755" t="s">
        <v>14</v>
      </c>
      <c r="C5" s="165">
        <v>81396</v>
      </c>
      <c r="D5" s="10">
        <v>691866</v>
      </c>
      <c r="E5" s="491">
        <v>552815</v>
      </c>
      <c r="F5" s="10">
        <v>1117278</v>
      </c>
      <c r="G5" s="10">
        <v>5000</v>
      </c>
      <c r="H5" s="10">
        <f>SUM(D5,F5,G5)</f>
        <v>1814144</v>
      </c>
      <c r="I5" s="137">
        <f>H5*1.1</f>
        <v>1995558.4000000001</v>
      </c>
      <c r="J5" s="425" t="s">
        <v>308</v>
      </c>
      <c r="K5" s="462">
        <v>6870</v>
      </c>
      <c r="L5" s="463">
        <v>5228</v>
      </c>
      <c r="M5" s="464">
        <v>341842</v>
      </c>
      <c r="N5" s="659">
        <f>K5+L5+M5</f>
        <v>353940</v>
      </c>
      <c r="O5" s="3"/>
      <c r="P5" s="3"/>
      <c r="S5" s="55"/>
    </row>
    <row r="6" spans="1:19" ht="8.4" customHeight="1">
      <c r="A6" s="465"/>
      <c r="B6" s="317"/>
      <c r="C6" s="171"/>
      <c r="D6" s="171"/>
      <c r="E6" s="171"/>
      <c r="F6" s="171"/>
      <c r="G6" s="171"/>
      <c r="H6" s="171"/>
      <c r="I6" s="355"/>
      <c r="J6" s="400"/>
      <c r="K6" s="445"/>
      <c r="L6" s="446"/>
      <c r="M6" s="667"/>
      <c r="N6" s="438"/>
      <c r="O6" s="3"/>
      <c r="P6" s="3"/>
    </row>
    <row r="7" spans="1:19" ht="40.049999999999997" customHeight="1">
      <c r="A7" s="831" t="s">
        <v>16</v>
      </c>
      <c r="B7" s="832"/>
      <c r="C7" s="391"/>
      <c r="D7" s="99"/>
      <c r="E7" s="484">
        <v>10000</v>
      </c>
      <c r="F7" s="99">
        <v>40000</v>
      </c>
      <c r="G7" s="122"/>
      <c r="H7" s="99">
        <f>F7</f>
        <v>40000</v>
      </c>
      <c r="I7" s="124">
        <f>H7*1.1</f>
        <v>44000</v>
      </c>
      <c r="J7" s="345" t="s">
        <v>285</v>
      </c>
      <c r="K7" s="751"/>
      <c r="L7" s="453"/>
      <c r="M7" s="668">
        <v>33000</v>
      </c>
      <c r="N7" s="754">
        <f>K7+L7+M7</f>
        <v>33000</v>
      </c>
      <c r="O7" s="3"/>
      <c r="P7" s="3"/>
    </row>
    <row r="8" spans="1:19" ht="40.049999999999997" customHeight="1">
      <c r="A8" s="833" t="s">
        <v>286</v>
      </c>
      <c r="B8" s="834"/>
      <c r="C8" s="394"/>
      <c r="D8" s="135"/>
      <c r="E8" s="715">
        <v>50000</v>
      </c>
      <c r="F8" s="135">
        <v>200000</v>
      </c>
      <c r="G8" s="716"/>
      <c r="H8" s="135">
        <f>F8</f>
        <v>200000</v>
      </c>
      <c r="I8" s="137">
        <f>H8*1.1</f>
        <v>220000.00000000003</v>
      </c>
      <c r="J8" s="388" t="s">
        <v>302</v>
      </c>
      <c r="K8" s="752"/>
      <c r="L8" s="454"/>
      <c r="M8" s="670">
        <v>165000</v>
      </c>
      <c r="N8" s="722">
        <f>K8+L8+M8</f>
        <v>165000</v>
      </c>
      <c r="O8" s="3"/>
      <c r="P8" s="3"/>
    </row>
    <row r="9" spans="1:19" ht="12.6" customHeight="1">
      <c r="A9" s="725"/>
      <c r="B9" s="724"/>
      <c r="C9" s="726"/>
      <c r="D9" s="726"/>
      <c r="E9" s="145"/>
      <c r="F9" s="726"/>
      <c r="G9" s="732"/>
      <c r="H9" s="726"/>
      <c r="I9" s="728"/>
      <c r="J9" s="733"/>
      <c r="K9" s="306"/>
      <c r="L9" s="306"/>
      <c r="M9" s="734"/>
      <c r="N9" s="675"/>
      <c r="O9" s="3"/>
      <c r="P9" s="3"/>
    </row>
    <row r="10" spans="1:19" ht="40.049999999999997" customHeight="1">
      <c r="A10" s="835" t="s">
        <v>306</v>
      </c>
      <c r="B10" s="836"/>
      <c r="C10" s="747"/>
      <c r="D10" s="22"/>
      <c r="E10" s="735">
        <v>30050</v>
      </c>
      <c r="F10" s="22">
        <v>102170</v>
      </c>
      <c r="G10" s="736"/>
      <c r="H10" s="22">
        <v>102170</v>
      </c>
      <c r="I10" s="748">
        <f>H10*1.1</f>
        <v>112387.00000000001</v>
      </c>
      <c r="J10" s="27"/>
      <c r="K10" s="753"/>
      <c r="L10" s="447">
        <v>160</v>
      </c>
      <c r="M10" s="710">
        <v>57057</v>
      </c>
      <c r="N10" s="659">
        <f>K10+L10+M10</f>
        <v>57217</v>
      </c>
      <c r="O10" s="3"/>
      <c r="P10" s="3"/>
    </row>
    <row r="11" spans="1:19" ht="12.6" customHeight="1">
      <c r="A11" s="737"/>
      <c r="B11" s="723"/>
      <c r="C11" s="738"/>
      <c r="D11" s="739"/>
      <c r="E11" s="417"/>
      <c r="F11" s="337"/>
      <c r="G11" s="727"/>
      <c r="H11" s="738"/>
      <c r="I11" s="740"/>
      <c r="J11" s="729"/>
      <c r="K11" s="730"/>
      <c r="L11" s="730"/>
      <c r="M11" s="731"/>
      <c r="N11" s="455"/>
      <c r="O11" s="3"/>
      <c r="P11" s="3"/>
    </row>
    <row r="12" spans="1:19" ht="40.049999999999997" customHeight="1">
      <c r="A12" s="804" t="s">
        <v>209</v>
      </c>
      <c r="B12" s="805"/>
      <c r="C12" s="699"/>
      <c r="D12" s="688"/>
      <c r="E12" s="689">
        <v>129120</v>
      </c>
      <c r="F12" s="688">
        <v>425762</v>
      </c>
      <c r="G12" s="690"/>
      <c r="H12" s="688">
        <v>425762</v>
      </c>
      <c r="I12" s="691">
        <f>H12*1.1</f>
        <v>468338.2</v>
      </c>
      <c r="J12" s="345"/>
      <c r="K12" s="466">
        <v>600</v>
      </c>
      <c r="L12" s="453">
        <v>1600</v>
      </c>
      <c r="M12" s="668">
        <v>204798</v>
      </c>
      <c r="N12" s="455">
        <f>SUM(K12:M12)</f>
        <v>206998</v>
      </c>
      <c r="O12" s="3"/>
      <c r="P12" s="3"/>
    </row>
    <row r="13" spans="1:19" ht="40.049999999999997" customHeight="1">
      <c r="A13" s="793" t="s">
        <v>303</v>
      </c>
      <c r="B13" s="794"/>
      <c r="C13" s="700"/>
      <c r="D13" s="692"/>
      <c r="E13" s="693">
        <v>136330</v>
      </c>
      <c r="F13" s="694">
        <v>497593</v>
      </c>
      <c r="G13" s="695"/>
      <c r="H13" s="694">
        <v>497593</v>
      </c>
      <c r="I13" s="696">
        <f>H13*1.1</f>
        <v>547352.30000000005</v>
      </c>
      <c r="J13" s="346"/>
      <c r="K13" s="443">
        <v>7060</v>
      </c>
      <c r="L13" s="442">
        <v>1972</v>
      </c>
      <c r="M13" s="669">
        <v>174549</v>
      </c>
      <c r="N13" s="456">
        <f t="shared" ref="N13:N23" si="0">K13+L13+M13</f>
        <v>183581</v>
      </c>
      <c r="O13" s="3"/>
      <c r="P13" s="3"/>
    </row>
    <row r="14" spans="1:19" ht="40.049999999999997" customHeight="1">
      <c r="A14" s="793" t="s">
        <v>304</v>
      </c>
      <c r="B14" s="794"/>
      <c r="C14" s="700"/>
      <c r="D14" s="694"/>
      <c r="E14" s="694">
        <v>105000</v>
      </c>
      <c r="F14" s="694">
        <v>373040</v>
      </c>
      <c r="G14" s="694"/>
      <c r="H14" s="694">
        <v>373040</v>
      </c>
      <c r="I14" s="696">
        <f>H14*1.1</f>
        <v>410344.00000000006</v>
      </c>
      <c r="J14" s="346"/>
      <c r="K14" s="711">
        <v>1300</v>
      </c>
      <c r="L14" s="712">
        <v>330</v>
      </c>
      <c r="M14" s="713">
        <v>50564</v>
      </c>
      <c r="N14" s="714">
        <f t="shared" si="0"/>
        <v>52194</v>
      </c>
      <c r="O14" s="57"/>
      <c r="P14" s="3"/>
    </row>
    <row r="15" spans="1:19" ht="40.049999999999997" customHeight="1">
      <c r="A15" s="837" t="s">
        <v>305</v>
      </c>
      <c r="B15" s="838"/>
      <c r="C15" s="701"/>
      <c r="D15" s="697"/>
      <c r="E15" s="697">
        <v>20150</v>
      </c>
      <c r="F15" s="697">
        <v>120900</v>
      </c>
      <c r="G15" s="697"/>
      <c r="H15" s="697">
        <v>120900</v>
      </c>
      <c r="I15" s="698">
        <f>H15*1.1</f>
        <v>132990</v>
      </c>
      <c r="J15" s="346"/>
      <c r="K15" s="394"/>
      <c r="L15" s="454"/>
      <c r="M15" s="670"/>
      <c r="N15" s="659">
        <f t="shared" si="0"/>
        <v>0</v>
      </c>
      <c r="O15" s="57"/>
      <c r="P15" s="3"/>
    </row>
    <row r="16" spans="1:19" ht="10.8" customHeight="1">
      <c r="A16" s="465"/>
      <c r="B16" s="317"/>
      <c r="C16" s="171"/>
      <c r="D16" s="171"/>
      <c r="E16" s="171"/>
      <c r="F16" s="171"/>
      <c r="G16" s="171"/>
      <c r="H16" s="171"/>
      <c r="I16" s="355"/>
      <c r="J16" s="400"/>
      <c r="K16" s="319"/>
      <c r="L16" s="445"/>
      <c r="M16" s="667"/>
      <c r="N16" s="675"/>
      <c r="O16" s="58"/>
      <c r="P16" s="3"/>
    </row>
    <row r="17" spans="1:19" s="1" customFormat="1" ht="40.049999999999997" customHeight="1">
      <c r="A17" s="795" t="s">
        <v>310</v>
      </c>
      <c r="B17" s="797" t="s">
        <v>117</v>
      </c>
      <c r="C17" s="163">
        <v>6500</v>
      </c>
      <c r="D17" s="99">
        <v>65000</v>
      </c>
      <c r="E17" s="140">
        <v>50450</v>
      </c>
      <c r="F17" s="140">
        <v>75675</v>
      </c>
      <c r="G17" s="99"/>
      <c r="H17" s="99">
        <v>140675</v>
      </c>
      <c r="I17" s="696">
        <f>H17*1.1</f>
        <v>154742.5</v>
      </c>
      <c r="J17" s="193" t="s">
        <v>276</v>
      </c>
      <c r="K17" s="782"/>
      <c r="L17" s="783"/>
      <c r="M17" s="824">
        <v>77450</v>
      </c>
      <c r="N17" s="786">
        <f>K17+L17+M17</f>
        <v>77450</v>
      </c>
      <c r="O17" s="58"/>
      <c r="P17" s="3"/>
      <c r="Q17" s="50"/>
      <c r="S17" s="55"/>
    </row>
    <row r="18" spans="1:19" s="1" customFormat="1" ht="40.049999999999997" customHeight="1">
      <c r="A18" s="796"/>
      <c r="B18" s="798"/>
      <c r="C18" s="165">
        <v>4800</v>
      </c>
      <c r="D18" s="135">
        <v>48000</v>
      </c>
      <c r="E18" s="10">
        <v>48680</v>
      </c>
      <c r="F18" s="10">
        <v>75600</v>
      </c>
      <c r="G18" s="100"/>
      <c r="H18" s="135">
        <v>123600</v>
      </c>
      <c r="I18" s="137">
        <f>H18*1.1</f>
        <v>135960</v>
      </c>
      <c r="J18" s="33" t="s">
        <v>130</v>
      </c>
      <c r="K18" s="782"/>
      <c r="L18" s="783"/>
      <c r="M18" s="824"/>
      <c r="N18" s="787"/>
      <c r="O18" s="47"/>
      <c r="P18" s="3"/>
      <c r="Q18" s="50"/>
      <c r="S18" s="55"/>
    </row>
    <row r="19" spans="1:19" s="1" customFormat="1" ht="9.6" customHeight="1">
      <c r="A19" s="465"/>
      <c r="B19" s="376"/>
      <c r="C19" s="358"/>
      <c r="D19" s="358"/>
      <c r="E19" s="358"/>
      <c r="F19" s="358"/>
      <c r="G19" s="358"/>
      <c r="H19" s="358"/>
      <c r="I19" s="401"/>
      <c r="J19" s="356"/>
      <c r="K19" s="318"/>
      <c r="L19" s="319"/>
      <c r="M19" s="439"/>
      <c r="N19" s="439"/>
      <c r="O19" s="47"/>
      <c r="P19" s="3"/>
      <c r="Q19" s="50"/>
      <c r="S19" s="55"/>
    </row>
    <row r="20" spans="1:19" s="1" customFormat="1" ht="40.049999999999997" customHeight="1">
      <c r="A20" s="788" t="s">
        <v>213</v>
      </c>
      <c r="B20" s="402" t="s">
        <v>28</v>
      </c>
      <c r="C20" s="379">
        <f>C4+C5</f>
        <v>150263</v>
      </c>
      <c r="D20" s="379">
        <f>D4+D5</f>
        <v>1277236</v>
      </c>
      <c r="E20" s="379">
        <f>E4+E5+E7+E8</f>
        <v>749247</v>
      </c>
      <c r="F20" s="379">
        <f>F4+F5+F7+F8</f>
        <v>1613036</v>
      </c>
      <c r="G20" s="379">
        <f>G4+G5</f>
        <v>5000</v>
      </c>
      <c r="H20" s="379">
        <f>SUM(H4:H8)</f>
        <v>2895272</v>
      </c>
      <c r="I20" s="481">
        <f>I4+I5+I7+I8</f>
        <v>3184799.2</v>
      </c>
      <c r="J20" s="404" t="s">
        <v>131</v>
      </c>
      <c r="K20" s="451"/>
      <c r="L20" s="452"/>
      <c r="M20" s="671"/>
      <c r="N20" s="439">
        <f t="shared" si="0"/>
        <v>0</v>
      </c>
      <c r="O20" s="47"/>
      <c r="P20" s="3"/>
      <c r="Q20" s="50"/>
      <c r="S20" s="55"/>
    </row>
    <row r="21" spans="1:19" s="1" customFormat="1" ht="40.049999999999997" customHeight="1">
      <c r="A21" s="825"/>
      <c r="B21" s="826" t="s">
        <v>5</v>
      </c>
      <c r="C21" s="741"/>
      <c r="D21" s="187"/>
      <c r="E21" s="187">
        <f>SUM(E10)</f>
        <v>30050</v>
      </c>
      <c r="F21" s="187">
        <f>SUM(F10)</f>
        <v>102170</v>
      </c>
      <c r="G21" s="187"/>
      <c r="H21" s="187">
        <f>SUM(H10)</f>
        <v>102170</v>
      </c>
      <c r="I21" s="742">
        <f>SUM(I10)</f>
        <v>112387.00000000001</v>
      </c>
      <c r="J21" s="743" t="s">
        <v>306</v>
      </c>
      <c r="K21" s="744"/>
      <c r="L21" s="745"/>
      <c r="M21" s="746"/>
      <c r="N21" s="662">
        <f>K21+L21+M21</f>
        <v>0</v>
      </c>
      <c r="O21" s="47"/>
      <c r="P21" s="3"/>
      <c r="Q21" s="50"/>
      <c r="S21" s="55"/>
    </row>
    <row r="22" spans="1:19" s="1" customFormat="1" ht="40.049999999999997" customHeight="1">
      <c r="A22" s="789"/>
      <c r="B22" s="791"/>
      <c r="C22" s="235"/>
      <c r="D22" s="235"/>
      <c r="E22" s="235">
        <f>E12+E13+E14+E15</f>
        <v>390600</v>
      </c>
      <c r="F22" s="235">
        <f>F12+F13+F14+F15</f>
        <v>1417295</v>
      </c>
      <c r="G22" s="235"/>
      <c r="H22" s="235">
        <f>H12+H13+H14+H15</f>
        <v>1417295</v>
      </c>
      <c r="I22" s="480">
        <f>I12+I13+I14+I15</f>
        <v>1559024.5</v>
      </c>
      <c r="J22" s="403" t="s">
        <v>132</v>
      </c>
      <c r="K22" s="476"/>
      <c r="L22" s="477"/>
      <c r="M22" s="672"/>
      <c r="N22" s="662">
        <f>K22+L22+M22</f>
        <v>0</v>
      </c>
      <c r="O22" s="47"/>
      <c r="P22" s="3"/>
      <c r="Q22" s="50"/>
      <c r="S22" s="55"/>
    </row>
    <row r="23" spans="1:19" s="1" customFormat="1" ht="40.049999999999997" customHeight="1" thickBot="1">
      <c r="A23" s="789"/>
      <c r="B23" s="792"/>
      <c r="C23" s="189"/>
      <c r="D23" s="189"/>
      <c r="E23" s="189">
        <f>SUM(E17:E18)</f>
        <v>99130</v>
      </c>
      <c r="F23" s="189">
        <f>SUM(F17:F18)</f>
        <v>151275</v>
      </c>
      <c r="G23" s="189"/>
      <c r="H23" s="189">
        <f>SUM(H17:H18)</f>
        <v>264275</v>
      </c>
      <c r="I23" s="482">
        <f>SUM(I17:I18)</f>
        <v>290702.5</v>
      </c>
      <c r="J23" s="405" t="s">
        <v>307</v>
      </c>
      <c r="K23" s="468"/>
      <c r="L23" s="469"/>
      <c r="M23" s="673"/>
      <c r="N23" s="665">
        <f t="shared" si="0"/>
        <v>0</v>
      </c>
      <c r="O23" s="47"/>
      <c r="P23" s="3"/>
      <c r="Q23" s="50"/>
      <c r="S23" s="55"/>
    </row>
    <row r="24" spans="1:19" s="1" customFormat="1" ht="40.049999999999997" customHeight="1" thickTop="1" thickBot="1">
      <c r="A24" s="790"/>
      <c r="B24" s="471" t="s">
        <v>19</v>
      </c>
      <c r="C24" s="440"/>
      <c r="D24" s="440"/>
      <c r="E24" s="440">
        <f>SUM(E20:E23)</f>
        <v>1269027</v>
      </c>
      <c r="F24" s="440">
        <f>SUM(F20:F23)</f>
        <v>3283776</v>
      </c>
      <c r="G24" s="440">
        <f>SUM(G20:G23)</f>
        <v>5000</v>
      </c>
      <c r="H24" s="440">
        <f>SUM(H20:H23)</f>
        <v>4679012</v>
      </c>
      <c r="I24" s="441">
        <f>SUM(I20:I23)</f>
        <v>5146913.2</v>
      </c>
      <c r="J24" s="483"/>
      <c r="K24" s="440">
        <f>SUM(K4:K23)</f>
        <v>21830</v>
      </c>
      <c r="L24" s="458">
        <f>SUM(L4:L23)</f>
        <v>13532</v>
      </c>
      <c r="M24" s="674">
        <f>SUM(M4:M23)</f>
        <v>1374393</v>
      </c>
      <c r="N24" s="679">
        <f>K24+L24+M24</f>
        <v>1409755</v>
      </c>
      <c r="O24" s="47"/>
      <c r="P24" s="3"/>
      <c r="Q24" s="50"/>
      <c r="S24" s="55"/>
    </row>
    <row r="25" spans="1:19" s="1" customFormat="1" ht="53.4" customHeight="1">
      <c r="A25"/>
      <c r="B25" s="40" t="s">
        <v>20</v>
      </c>
      <c r="I25" s="41"/>
      <c r="J25" s="44"/>
      <c r="M25" s="48"/>
      <c r="N25" s="143"/>
      <c r="O25" s="47"/>
      <c r="P25" s="48"/>
      <c r="Q25" s="50"/>
      <c r="S25" s="55"/>
    </row>
    <row r="26" spans="1:19">
      <c r="L26" s="48"/>
    </row>
    <row r="27" spans="1:19" ht="30" customHeight="1"/>
    <row r="29" spans="1:19">
      <c r="J29" s="435"/>
    </row>
    <row r="30" spans="1:19">
      <c r="J30" s="435"/>
    </row>
    <row r="47" spans="1:19" s="48" customFormat="1">
      <c r="A47"/>
      <c r="B47" s="42"/>
      <c r="C47" s="1"/>
      <c r="D47" s="1"/>
      <c r="E47" s="1"/>
      <c r="F47" s="1"/>
      <c r="G47" s="1"/>
      <c r="H47" s="1"/>
      <c r="I47" s="36"/>
      <c r="J47" s="44"/>
      <c r="K47" s="1"/>
      <c r="L47" s="48" t="s">
        <v>51</v>
      </c>
      <c r="M47" s="48" t="s">
        <v>113</v>
      </c>
      <c r="N47" s="143"/>
      <c r="O47" s="47"/>
      <c r="Q47" s="50"/>
      <c r="R47" s="1"/>
      <c r="S47" s="53"/>
    </row>
  </sheetData>
  <mergeCells count="27">
    <mergeCell ref="A20:A24"/>
    <mergeCell ref="A14:B14"/>
    <mergeCell ref="A15:B15"/>
    <mergeCell ref="A17:A18"/>
    <mergeCell ref="B17:B18"/>
    <mergeCell ref="B21:B23"/>
    <mergeCell ref="O2:O3"/>
    <mergeCell ref="A7:B7"/>
    <mergeCell ref="A8:B8"/>
    <mergeCell ref="A12:B12"/>
    <mergeCell ref="M17:M18"/>
    <mergeCell ref="N17:N18"/>
    <mergeCell ref="K17:K18"/>
    <mergeCell ref="L17:L18"/>
    <mergeCell ref="A10:B10"/>
    <mergeCell ref="A13:B13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</mergeCells>
  <phoneticPr fontId="3"/>
  <conditionalFormatting sqref="C17:C18">
    <cfRule type="expression" dxfId="668" priority="25">
      <formula>COUNTIF(#REF!,"*済*")</formula>
    </cfRule>
    <cfRule type="expression" dxfId="667" priority="26">
      <formula>COUNTIF(#REF!,"*一部*")</formula>
    </cfRule>
    <cfRule type="expression" dxfId="666" priority="27">
      <formula>COUNTIF(#REF!,"*未*")</formula>
    </cfRule>
  </conditionalFormatting>
  <conditionalFormatting sqref="E14:F15 J14:J15">
    <cfRule type="expression" dxfId="665" priority="45">
      <formula>COUNTIF(#REF!,"*未*")</formula>
    </cfRule>
    <cfRule type="expression" dxfId="664" priority="44">
      <formula>COUNTIF(#REF!,"*一部*")</formula>
    </cfRule>
    <cfRule type="expression" dxfId="663" priority="43">
      <formula>COUNTIF(#REF!,"*済*")</formula>
    </cfRule>
  </conditionalFormatting>
  <conditionalFormatting sqref="E17:F18">
    <cfRule type="expression" dxfId="662" priority="16">
      <formula>COUNTIF(#REF!,"*済*")</formula>
    </cfRule>
    <cfRule type="expression" dxfId="661" priority="17">
      <formula>COUNTIF(#REF!,"*一部*")</formula>
    </cfRule>
    <cfRule type="expression" dxfId="660" priority="18">
      <formula>COUNTIF(#REF!,"*未*")</formula>
    </cfRule>
  </conditionalFormatting>
  <conditionalFormatting sqref="E7:G11 J7:K11">
    <cfRule type="expression" dxfId="659" priority="10">
      <formula>COUNTIF(#REF!,"*済*")</formula>
    </cfRule>
    <cfRule type="expression" dxfId="658" priority="11">
      <formula>COUNTIF(#REF!,"*一部*")</formula>
    </cfRule>
    <cfRule type="expression" dxfId="657" priority="12">
      <formula>COUNTIF(#REF!,"*未*")</formula>
    </cfRule>
  </conditionalFormatting>
  <conditionalFormatting sqref="E12:G13">
    <cfRule type="expression" dxfId="656" priority="48">
      <formula>COUNTIF(#REF!,"*未*")</formula>
    </cfRule>
    <cfRule type="expression" dxfId="655" priority="47">
      <formula>COUNTIF(#REF!,"*一部*")</formula>
    </cfRule>
    <cfRule type="expression" dxfId="654" priority="46">
      <formula>COUNTIF(#REF!,"*済*")</formula>
    </cfRule>
  </conditionalFormatting>
  <conditionalFormatting sqref="E7:H11">
    <cfRule type="expression" dxfId="653" priority="7">
      <formula>COUNTIF(#REF!,"*済*")</formula>
    </cfRule>
    <cfRule type="expression" dxfId="652" priority="8">
      <formula>COUNTIF(#REF!,"*一部*")</formula>
    </cfRule>
    <cfRule type="expression" dxfId="651" priority="9">
      <formula>COUNTIF(#REF!,"*未*")</formula>
    </cfRule>
  </conditionalFormatting>
  <conditionalFormatting sqref="E12:H13">
    <cfRule type="expression" dxfId="650" priority="40">
      <formula>COUNTIF(#REF!,"*済*")</formula>
    </cfRule>
    <cfRule type="expression" dxfId="649" priority="42">
      <formula>COUNTIF(#REF!,"*未*")</formula>
    </cfRule>
    <cfRule type="expression" dxfId="648" priority="41">
      <formula>COUNTIF(#REF!,"*一部*")</formula>
    </cfRule>
  </conditionalFormatting>
  <conditionalFormatting sqref="F14:F15">
    <cfRule type="expression" dxfId="647" priority="50">
      <formula>COUNTIF(#REF!,"*一部*")</formula>
    </cfRule>
    <cfRule type="expression" dxfId="646" priority="52">
      <formula>COUNTIF(#REF!,"*済*")</formula>
    </cfRule>
    <cfRule type="expression" dxfId="645" priority="53">
      <formula>COUNTIF(#REF!,"*一部*")</formula>
    </cfRule>
    <cfRule type="expression" dxfId="644" priority="54">
      <formula>COUNTIF(#REF!,"*未*")</formula>
    </cfRule>
    <cfRule type="expression" dxfId="643" priority="51">
      <formula>COUNTIF(#REF!,"*未*")</formula>
    </cfRule>
    <cfRule type="expression" dxfId="642" priority="49">
      <formula>COUNTIF(#REF!,"*済*")</formula>
    </cfRule>
  </conditionalFormatting>
  <conditionalFormatting sqref="F17:F18">
    <cfRule type="expression" dxfId="641" priority="24">
      <formula>COUNTIF(#REF!,"*未*")</formula>
    </cfRule>
    <cfRule type="expression" dxfId="640" priority="23">
      <formula>COUNTIF(#REF!,"*一部*")</formula>
    </cfRule>
    <cfRule type="expression" dxfId="639" priority="22">
      <formula>COUNTIF(#REF!,"*済*")</formula>
    </cfRule>
    <cfRule type="expression" dxfId="638" priority="21">
      <formula>COUNTIF(#REF!,"*未*")</formula>
    </cfRule>
    <cfRule type="expression" dxfId="637" priority="20">
      <formula>COUNTIF(#REF!,"*一部*")</formula>
    </cfRule>
    <cfRule type="expression" dxfId="636" priority="19">
      <formula>COUNTIF(#REF!,"*済*")</formula>
    </cfRule>
  </conditionalFormatting>
  <conditionalFormatting sqref="H7:H15">
    <cfRule type="expression" dxfId="635" priority="34">
      <formula>COUNTIF(#REF!,"*済*")</formula>
    </cfRule>
    <cfRule type="expression" dxfId="634" priority="35">
      <formula>COUNTIF(#REF!,"*一部*")</formula>
    </cfRule>
    <cfRule type="expression" dxfId="633" priority="36">
      <formula>COUNTIF(#REF!,"*未*")</formula>
    </cfRule>
  </conditionalFormatting>
  <conditionalFormatting sqref="H12:H15">
    <cfRule type="expression" dxfId="632" priority="2">
      <formula>COUNTIF(#REF!,"*一部*")</formula>
    </cfRule>
    <cfRule type="expression" dxfId="631" priority="3">
      <formula>COUNTIF(#REF!,"*未*")</formula>
    </cfRule>
    <cfRule type="expression" dxfId="630" priority="1">
      <formula>COUNTIF(#REF!,"*済*")</formula>
    </cfRule>
  </conditionalFormatting>
  <conditionalFormatting sqref="H14:H15">
    <cfRule type="expression" dxfId="629" priority="39">
      <formula>COUNTIF(#REF!,"*未*")</formula>
    </cfRule>
    <cfRule type="expression" dxfId="628" priority="38">
      <formula>COUNTIF(#REF!,"*一部*")</formula>
    </cfRule>
    <cfRule type="expression" dxfId="627" priority="37">
      <formula>COUNTIF(#REF!,"*済*")</formula>
    </cfRule>
  </conditionalFormatting>
  <conditionalFormatting sqref="J17:J18">
    <cfRule type="expression" dxfId="626" priority="29">
      <formula>COUNTIF(#REF!,"*一部*")</formula>
    </cfRule>
    <cfRule type="expression" dxfId="625" priority="28">
      <formula>COUNTIF(#REF!,"*済*")</formula>
    </cfRule>
    <cfRule type="expression" dxfId="624" priority="30">
      <formula>COUNTIF(#REF!,"*未*")</formula>
    </cfRule>
  </conditionalFormatting>
  <conditionalFormatting sqref="J7:K13">
    <cfRule type="expression" dxfId="623" priority="13">
      <formula>COUNTIF(#REF!,"*済*")</formula>
    </cfRule>
    <cfRule type="expression" dxfId="622" priority="14">
      <formula>COUNTIF(#REF!,"*一部*")</formula>
    </cfRule>
    <cfRule type="expression" dxfId="621" priority="15">
      <formula>COUNTIF(#REF!,"*未*")</formula>
    </cfRule>
  </conditionalFormatting>
  <conditionalFormatting sqref="J12:K13">
    <cfRule type="expression" dxfId="620" priority="55">
      <formula>COUNTIF(#REF!,"*済*")</formula>
    </cfRule>
    <cfRule type="expression" dxfId="619" priority="56">
      <formula>COUNTIF(#REF!,"*一部*")</formula>
    </cfRule>
    <cfRule type="expression" dxfId="618" priority="57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4682-C1AA-4256-990A-E6C0ECDC187A}">
  <sheetPr>
    <pageSetUpPr fitToPage="1"/>
  </sheetPr>
  <dimension ref="A1:S45"/>
  <sheetViews>
    <sheetView topLeftCell="A7" zoomScaleNormal="100" workbookViewId="0">
      <selection activeCell="M15" sqref="M15:M16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27.33203125" style="44" customWidth="1"/>
    <col min="11" max="12" width="10.77734375" style="1" customWidth="1"/>
    <col min="13" max="13" width="12.33203125" style="48" bestFit="1" customWidth="1"/>
    <col min="14" max="14" width="13.44140625" style="143" customWidth="1"/>
    <col min="15" max="15" width="13" style="47" customWidth="1"/>
    <col min="16" max="16" width="11.33203125" style="48" customWidth="1"/>
    <col min="17" max="17" width="9.109375" style="50" bestFit="1" customWidth="1"/>
    <col min="18" max="18" width="8.88671875" style="1"/>
    <col min="19" max="19" width="13.33203125" style="53" bestFit="1" customWidth="1"/>
  </cols>
  <sheetData>
    <row r="1" spans="1:19" ht="32.25" customHeight="1" thickBot="1">
      <c r="A1" s="806" t="s">
        <v>291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678"/>
    </row>
    <row r="2" spans="1:19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12" t="s">
        <v>5</v>
      </c>
      <c r="H2" s="814" t="s">
        <v>31</v>
      </c>
      <c r="I2" s="816" t="s">
        <v>6</v>
      </c>
      <c r="J2" s="818" t="s">
        <v>7</v>
      </c>
      <c r="K2" s="820" t="s">
        <v>8</v>
      </c>
      <c r="L2" s="822" t="s">
        <v>9</v>
      </c>
      <c r="M2" s="436" t="s">
        <v>52</v>
      </c>
      <c r="N2" s="663" t="s">
        <v>156</v>
      </c>
      <c r="O2" s="799"/>
      <c r="R2" s="52"/>
    </row>
    <row r="3" spans="1:19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437" t="s">
        <v>53</v>
      </c>
      <c r="N3" s="664" t="s">
        <v>53</v>
      </c>
      <c r="O3" s="799"/>
      <c r="P3" s="49"/>
      <c r="Q3" s="51"/>
      <c r="R3" s="6"/>
      <c r="S3" s="54"/>
    </row>
    <row r="4" spans="1:19" ht="40.049999999999997" customHeight="1" thickTop="1">
      <c r="A4" s="487">
        <v>46164</v>
      </c>
      <c r="B4" s="488" t="s">
        <v>13</v>
      </c>
      <c r="C4" s="423">
        <v>68867</v>
      </c>
      <c r="D4" s="13">
        <v>585370</v>
      </c>
      <c r="E4" s="423">
        <v>63111</v>
      </c>
      <c r="F4" s="423">
        <v>123203</v>
      </c>
      <c r="G4" s="423"/>
      <c r="H4" s="423">
        <f>D4+F4+G4</f>
        <v>708573</v>
      </c>
      <c r="I4" s="489">
        <f>H4*1.1</f>
        <v>779430.3</v>
      </c>
      <c r="J4" s="428" t="s">
        <v>298</v>
      </c>
      <c r="K4" s="660">
        <v>14190</v>
      </c>
      <c r="L4" s="661">
        <v>5005</v>
      </c>
      <c r="M4" s="666">
        <v>334204</v>
      </c>
      <c r="N4" s="662">
        <f>K4+L4+M4</f>
        <v>353399</v>
      </c>
      <c r="O4" s="3"/>
      <c r="P4" s="3"/>
    </row>
    <row r="5" spans="1:19" ht="40.049999999999997" customHeight="1">
      <c r="A5" s="461">
        <v>46171</v>
      </c>
      <c r="B5" s="490" t="s">
        <v>14</v>
      </c>
      <c r="C5" s="10">
        <v>83676</v>
      </c>
      <c r="D5" s="10">
        <v>711246</v>
      </c>
      <c r="E5" s="491">
        <v>279937</v>
      </c>
      <c r="F5" s="10">
        <v>372839</v>
      </c>
      <c r="G5" s="10">
        <v>5000</v>
      </c>
      <c r="H5" s="10">
        <f>SUM(D5,F5,G5)</f>
        <v>1089085</v>
      </c>
      <c r="I5" s="137">
        <f>H5*1.1</f>
        <v>1197993.5</v>
      </c>
      <c r="J5" s="425" t="s">
        <v>299</v>
      </c>
      <c r="K5" s="462">
        <v>5740</v>
      </c>
      <c r="L5" s="463">
        <v>5228</v>
      </c>
      <c r="M5" s="464">
        <v>360249</v>
      </c>
      <c r="N5" s="659">
        <f>K5+L5+M5</f>
        <v>371217</v>
      </c>
      <c r="O5" s="3"/>
      <c r="P5" s="3"/>
    </row>
    <row r="6" spans="1:19" ht="8.4" customHeight="1">
      <c r="A6" s="465"/>
      <c r="B6" s="317"/>
      <c r="C6" s="171"/>
      <c r="D6" s="171"/>
      <c r="E6" s="171"/>
      <c r="F6" s="171"/>
      <c r="G6" s="171"/>
      <c r="H6" s="171"/>
      <c r="I6" s="355"/>
      <c r="J6" s="400"/>
      <c r="K6" s="445"/>
      <c r="L6" s="446"/>
      <c r="M6" s="667"/>
      <c r="N6" s="438"/>
      <c r="O6" s="3"/>
      <c r="P6" s="3"/>
    </row>
    <row r="7" spans="1:19" ht="40.049999999999997" customHeight="1">
      <c r="A7" s="831" t="s">
        <v>16</v>
      </c>
      <c r="B7" s="839"/>
      <c r="C7" s="99"/>
      <c r="D7" s="99"/>
      <c r="E7" s="484">
        <v>10000</v>
      </c>
      <c r="F7" s="99">
        <v>40000</v>
      </c>
      <c r="G7" s="122"/>
      <c r="H7" s="99">
        <f>F7</f>
        <v>40000</v>
      </c>
      <c r="I7" s="719">
        <f>H7*1.1</f>
        <v>44000</v>
      </c>
      <c r="J7" s="720" t="s">
        <v>285</v>
      </c>
      <c r="K7" s="453"/>
      <c r="L7" s="453"/>
      <c r="M7" s="668">
        <v>33000</v>
      </c>
      <c r="N7" s="455">
        <v>33000</v>
      </c>
      <c r="O7" s="3"/>
      <c r="P7" s="3"/>
    </row>
    <row r="8" spans="1:19" ht="40.049999999999997" customHeight="1">
      <c r="A8" s="833" t="s">
        <v>286</v>
      </c>
      <c r="B8" s="842"/>
      <c r="C8" s="135"/>
      <c r="D8" s="135"/>
      <c r="E8" s="715">
        <v>104000</v>
      </c>
      <c r="F8" s="135">
        <v>312000</v>
      </c>
      <c r="G8" s="716"/>
      <c r="H8" s="135">
        <f>F8</f>
        <v>312000</v>
      </c>
      <c r="I8" s="717">
        <f>H8*1.1</f>
        <v>343200</v>
      </c>
      <c r="J8" s="718" t="s">
        <v>297</v>
      </c>
      <c r="K8" s="454"/>
      <c r="L8" s="454"/>
      <c r="M8" s="670">
        <v>343200</v>
      </c>
      <c r="N8" s="659"/>
      <c r="O8" s="3"/>
      <c r="P8" s="3"/>
    </row>
    <row r="9" spans="1:19" ht="12.6" customHeight="1">
      <c r="A9" s="702"/>
      <c r="B9" s="409"/>
      <c r="C9" s="703"/>
      <c r="D9" s="704"/>
      <c r="E9" s="410"/>
      <c r="F9" s="705"/>
      <c r="G9" s="706"/>
      <c r="H9" s="703"/>
      <c r="I9" s="707"/>
      <c r="J9" s="708"/>
      <c r="K9" s="709"/>
      <c r="L9" s="709"/>
      <c r="M9" s="710"/>
      <c r="N9" s="455"/>
      <c r="O9" s="3"/>
      <c r="P9" s="3"/>
    </row>
    <row r="10" spans="1:19" ht="40.049999999999997" customHeight="1">
      <c r="A10" s="804" t="s">
        <v>191</v>
      </c>
      <c r="B10" s="805"/>
      <c r="C10" s="699"/>
      <c r="D10" s="688"/>
      <c r="E10" s="689">
        <v>110720</v>
      </c>
      <c r="F10" s="688">
        <v>369462</v>
      </c>
      <c r="G10" s="690"/>
      <c r="H10" s="688">
        <v>369462</v>
      </c>
      <c r="I10" s="691">
        <f>H10*1.1</f>
        <v>406408.2</v>
      </c>
      <c r="J10" s="345"/>
      <c r="K10" s="466">
        <v>3040</v>
      </c>
      <c r="L10" s="453">
        <v>576</v>
      </c>
      <c r="M10" s="668">
        <v>158532</v>
      </c>
      <c r="N10" s="455">
        <f>SUM(K10:M10)</f>
        <v>162148</v>
      </c>
      <c r="O10" s="3"/>
      <c r="P10" s="3"/>
    </row>
    <row r="11" spans="1:19" ht="40.049999999999997" customHeight="1">
      <c r="A11" s="793" t="s">
        <v>288</v>
      </c>
      <c r="B11" s="794"/>
      <c r="C11" s="700"/>
      <c r="D11" s="692"/>
      <c r="E11" s="693">
        <v>45440</v>
      </c>
      <c r="F11" s="694">
        <v>162545</v>
      </c>
      <c r="G11" s="695"/>
      <c r="H11" s="694">
        <v>162545</v>
      </c>
      <c r="I11" s="696">
        <f>H11*1.1</f>
        <v>178799.5</v>
      </c>
      <c r="J11" s="346"/>
      <c r="K11" s="443">
        <v>1600</v>
      </c>
      <c r="L11" s="442">
        <v>476</v>
      </c>
      <c r="M11" s="669">
        <v>58305</v>
      </c>
      <c r="N11" s="456">
        <f t="shared" ref="N11:N21" si="0">K11+L11+M11</f>
        <v>60381</v>
      </c>
      <c r="O11" s="3"/>
      <c r="P11" s="3"/>
    </row>
    <row r="12" spans="1:19" ht="40.049999999999997" customHeight="1">
      <c r="A12" s="793" t="s">
        <v>289</v>
      </c>
      <c r="B12" s="794"/>
      <c r="C12" s="700"/>
      <c r="D12" s="694"/>
      <c r="E12" s="694">
        <v>134580</v>
      </c>
      <c r="F12" s="694">
        <v>470175</v>
      </c>
      <c r="G12" s="694"/>
      <c r="H12" s="694">
        <v>470175</v>
      </c>
      <c r="I12" s="696">
        <f>H12*1.1</f>
        <v>517192.50000000006</v>
      </c>
      <c r="J12" s="346"/>
      <c r="K12" s="711">
        <v>9440</v>
      </c>
      <c r="L12" s="712">
        <v>2531</v>
      </c>
      <c r="M12" s="713">
        <v>188970</v>
      </c>
      <c r="N12" s="714">
        <f t="shared" si="0"/>
        <v>200941</v>
      </c>
      <c r="O12" s="57"/>
      <c r="P12" s="3"/>
    </row>
    <row r="13" spans="1:19" ht="40.049999999999997" customHeight="1">
      <c r="A13" s="837" t="s">
        <v>290</v>
      </c>
      <c r="B13" s="838"/>
      <c r="C13" s="701"/>
      <c r="D13" s="697"/>
      <c r="E13" s="697">
        <v>65020</v>
      </c>
      <c r="F13" s="697">
        <v>333080</v>
      </c>
      <c r="G13" s="697"/>
      <c r="H13" s="697">
        <v>333080</v>
      </c>
      <c r="I13" s="698">
        <f>H13*1.1</f>
        <v>366388.00000000006</v>
      </c>
      <c r="J13" s="346"/>
      <c r="K13" s="394">
        <v>1600</v>
      </c>
      <c r="L13" s="454">
        <v>338</v>
      </c>
      <c r="M13" s="670">
        <v>13225</v>
      </c>
      <c r="N13" s="659">
        <f t="shared" si="0"/>
        <v>15163</v>
      </c>
      <c r="O13" s="57"/>
      <c r="P13" s="3"/>
    </row>
    <row r="14" spans="1:19" ht="10.8" customHeight="1">
      <c r="A14" s="465"/>
      <c r="B14" s="317"/>
      <c r="C14" s="171"/>
      <c r="D14" s="171"/>
      <c r="E14" s="171"/>
      <c r="F14" s="171"/>
      <c r="G14" s="171"/>
      <c r="H14" s="171"/>
      <c r="I14" s="355"/>
      <c r="J14" s="400"/>
      <c r="K14" s="319"/>
      <c r="L14" s="445"/>
      <c r="M14" s="667"/>
      <c r="N14" s="675"/>
      <c r="O14" s="58"/>
      <c r="P14" s="3"/>
    </row>
    <row r="15" spans="1:19" s="1" customFormat="1" ht="40.049999999999997" customHeight="1">
      <c r="A15" s="795" t="s">
        <v>287</v>
      </c>
      <c r="B15" s="797" t="s">
        <v>117</v>
      </c>
      <c r="C15" s="163">
        <v>6500</v>
      </c>
      <c r="D15" s="99">
        <v>65000</v>
      </c>
      <c r="E15" s="140">
        <v>20950</v>
      </c>
      <c r="F15" s="140">
        <v>31425</v>
      </c>
      <c r="G15" s="99"/>
      <c r="H15" s="99">
        <v>96425</v>
      </c>
      <c r="I15" s="696">
        <f>H15*1.1</f>
        <v>106067.50000000001</v>
      </c>
      <c r="J15" s="193" t="s">
        <v>276</v>
      </c>
      <c r="K15" s="782"/>
      <c r="L15" s="783"/>
      <c r="M15" s="824">
        <v>88650</v>
      </c>
      <c r="N15" s="786">
        <f>K15+L15+M15</f>
        <v>88650</v>
      </c>
      <c r="O15" s="58"/>
      <c r="P15" s="3"/>
      <c r="Q15" s="50"/>
      <c r="S15" s="55"/>
    </row>
    <row r="16" spans="1:19" s="1" customFormat="1" ht="40.049999999999997" customHeight="1">
      <c r="A16" s="796"/>
      <c r="B16" s="798"/>
      <c r="C16" s="165">
        <v>6550</v>
      </c>
      <c r="D16" s="135">
        <v>65500</v>
      </c>
      <c r="E16" s="10">
        <v>23650</v>
      </c>
      <c r="F16" s="10">
        <v>35475</v>
      </c>
      <c r="G16" s="100"/>
      <c r="H16" s="135">
        <v>100975</v>
      </c>
      <c r="I16" s="137">
        <f>H16*1.1</f>
        <v>111072.50000000001</v>
      </c>
      <c r="J16" s="33" t="s">
        <v>130</v>
      </c>
      <c r="K16" s="782"/>
      <c r="L16" s="783"/>
      <c r="M16" s="824"/>
      <c r="N16" s="787"/>
      <c r="O16" s="47"/>
      <c r="P16" s="3"/>
      <c r="Q16" s="50"/>
      <c r="S16" s="55"/>
    </row>
    <row r="17" spans="1:19" s="1" customFormat="1" ht="9.6" customHeight="1">
      <c r="A17" s="465"/>
      <c r="B17" s="376"/>
      <c r="C17" s="358"/>
      <c r="D17" s="358"/>
      <c r="E17" s="358"/>
      <c r="F17" s="358"/>
      <c r="G17" s="358"/>
      <c r="H17" s="358"/>
      <c r="I17" s="401"/>
      <c r="J17" s="356"/>
      <c r="K17" s="318"/>
      <c r="L17" s="319"/>
      <c r="M17" s="439"/>
      <c r="N17" s="439"/>
      <c r="O17" s="47"/>
      <c r="P17" s="3"/>
      <c r="Q17" s="50"/>
      <c r="S17" s="55"/>
    </row>
    <row r="18" spans="1:19" s="1" customFormat="1" ht="9.6" customHeight="1">
      <c r="A18" s="465"/>
      <c r="B18" s="376"/>
      <c r="C18" s="358"/>
      <c r="D18" s="358"/>
      <c r="E18" s="358"/>
      <c r="F18" s="358"/>
      <c r="G18" s="358"/>
      <c r="H18" s="358"/>
      <c r="I18" s="401"/>
      <c r="J18" s="400"/>
      <c r="K18" s="319"/>
      <c r="L18" s="319"/>
      <c r="M18" s="439"/>
      <c r="N18" s="439"/>
      <c r="O18" s="47"/>
      <c r="P18" s="3"/>
      <c r="Q18" s="50"/>
      <c r="S18" s="55"/>
    </row>
    <row r="19" spans="1:19" s="1" customFormat="1" ht="40.049999999999997" customHeight="1">
      <c r="A19" s="788" t="s">
        <v>197</v>
      </c>
      <c r="B19" s="402" t="s">
        <v>28</v>
      </c>
      <c r="C19" s="379">
        <f>C4+C5</f>
        <v>152543</v>
      </c>
      <c r="D19" s="379">
        <f>D4+D5</f>
        <v>1296616</v>
      </c>
      <c r="E19" s="379">
        <f>E4+E5+E7+E8</f>
        <v>457048</v>
      </c>
      <c r="F19" s="379">
        <f>F4+F5+F7+F8</f>
        <v>848042</v>
      </c>
      <c r="G19" s="379">
        <f>G4+G5</f>
        <v>5000</v>
      </c>
      <c r="H19" s="379">
        <f>SUM(H4:H8)</f>
        <v>2149658</v>
      </c>
      <c r="I19" s="481">
        <f>I4+I5+I7+I8</f>
        <v>2364623.7999999998</v>
      </c>
      <c r="J19" s="404" t="s">
        <v>131</v>
      </c>
      <c r="K19" s="451"/>
      <c r="L19" s="452"/>
      <c r="M19" s="671"/>
      <c r="N19" s="439">
        <f t="shared" si="0"/>
        <v>0</v>
      </c>
      <c r="O19" s="47"/>
      <c r="P19" s="3"/>
      <c r="Q19" s="50"/>
      <c r="S19" s="55"/>
    </row>
    <row r="20" spans="1:19" s="1" customFormat="1" ht="40.049999999999997" customHeight="1">
      <c r="A20" s="789"/>
      <c r="B20" s="840" t="s">
        <v>5</v>
      </c>
      <c r="C20" s="235"/>
      <c r="D20" s="235"/>
      <c r="E20" s="235">
        <f>E10+E11+E12+E13</f>
        <v>355760</v>
      </c>
      <c r="F20" s="235">
        <f>F10+F11+F12+F13</f>
        <v>1335262</v>
      </c>
      <c r="G20" s="235"/>
      <c r="H20" s="235">
        <f>H10+H11+H12+H13</f>
        <v>1335262</v>
      </c>
      <c r="I20" s="480">
        <f>I10+I11+I12+I13</f>
        <v>1468788.2</v>
      </c>
      <c r="J20" s="403" t="s">
        <v>132</v>
      </c>
      <c r="K20" s="476"/>
      <c r="L20" s="477"/>
      <c r="M20" s="672"/>
      <c r="N20" s="662">
        <f>K20+L20+M20</f>
        <v>0</v>
      </c>
      <c r="O20" s="47"/>
      <c r="P20" s="3"/>
      <c r="Q20" s="50"/>
      <c r="S20" s="55"/>
    </row>
    <row r="21" spans="1:19" s="1" customFormat="1" ht="40.049999999999997" customHeight="1" thickBot="1">
      <c r="A21" s="789"/>
      <c r="B21" s="841"/>
      <c r="C21" s="189"/>
      <c r="D21" s="189"/>
      <c r="E21" s="189">
        <f>SUM(E15:E16)</f>
        <v>44600</v>
      </c>
      <c r="F21" s="189">
        <f>SUM(F15:F16)</f>
        <v>66900</v>
      </c>
      <c r="G21" s="189"/>
      <c r="H21" s="189">
        <f>SUM(H15:H16)</f>
        <v>197400</v>
      </c>
      <c r="I21" s="482">
        <f>SUM(I15:I16)</f>
        <v>217140.00000000003</v>
      </c>
      <c r="J21" s="405" t="s">
        <v>300</v>
      </c>
      <c r="K21" s="468"/>
      <c r="L21" s="469"/>
      <c r="M21" s="673"/>
      <c r="N21" s="665">
        <f t="shared" si="0"/>
        <v>0</v>
      </c>
      <c r="O21" s="47"/>
      <c r="P21" s="3"/>
      <c r="Q21" s="50"/>
      <c r="S21" s="55"/>
    </row>
    <row r="22" spans="1:19" s="1" customFormat="1" ht="40.049999999999997" customHeight="1" thickTop="1" thickBot="1">
      <c r="A22" s="790"/>
      <c r="B22" s="471" t="s">
        <v>19</v>
      </c>
      <c r="C22" s="440"/>
      <c r="D22" s="440"/>
      <c r="E22" s="440">
        <f>SUM(E19:E21)</f>
        <v>857408</v>
      </c>
      <c r="F22" s="440">
        <f t="shared" ref="F22" si="1">SUM(F19:F21)</f>
        <v>2250204</v>
      </c>
      <c r="G22" s="440">
        <f>SUM(G19:G21)</f>
        <v>5000</v>
      </c>
      <c r="H22" s="440">
        <f>SUM(H19:H21)</f>
        <v>3682320</v>
      </c>
      <c r="I22" s="441">
        <f>SUM(I19:I21)</f>
        <v>4050552</v>
      </c>
      <c r="J22" s="483"/>
      <c r="K22" s="440">
        <f>SUM(K4:K21)</f>
        <v>35610</v>
      </c>
      <c r="L22" s="458">
        <f>SUM(L4:L21)</f>
        <v>14154</v>
      </c>
      <c r="M22" s="674">
        <f>SUM(M4:M21)</f>
        <v>1578335</v>
      </c>
      <c r="N22" s="679">
        <f>K22+L22+M22</f>
        <v>1628099</v>
      </c>
      <c r="O22" s="47"/>
      <c r="P22" s="3"/>
      <c r="Q22" s="50"/>
      <c r="S22" s="55"/>
    </row>
    <row r="23" spans="1:19" s="1" customFormat="1" ht="53.4" customHeight="1">
      <c r="A23"/>
      <c r="B23" s="40" t="s">
        <v>20</v>
      </c>
      <c r="I23" s="41" t="s">
        <v>294</v>
      </c>
      <c r="J23" s="44"/>
      <c r="M23" s="48"/>
      <c r="N23" s="143" t="s">
        <v>295</v>
      </c>
      <c r="O23" s="47"/>
      <c r="P23" s="48"/>
      <c r="Q23" s="50"/>
      <c r="S23" s="55"/>
    </row>
    <row r="24" spans="1:19">
      <c r="L24" s="48"/>
    </row>
    <row r="25" spans="1:19" ht="30" customHeight="1"/>
    <row r="27" spans="1:19">
      <c r="J27" s="435"/>
    </row>
    <row r="28" spans="1:19">
      <c r="J28" s="435"/>
    </row>
    <row r="45" spans="1:19" s="48" customFormat="1">
      <c r="A45"/>
      <c r="B45" s="42"/>
      <c r="C45" s="1"/>
      <c r="D45" s="1"/>
      <c r="E45" s="1"/>
      <c r="F45" s="1"/>
      <c r="G45" s="1"/>
      <c r="H45" s="1"/>
      <c r="I45" s="36"/>
      <c r="J45" s="44"/>
      <c r="K45" s="1"/>
      <c r="L45" s="48" t="s">
        <v>51</v>
      </c>
      <c r="M45" s="48" t="s">
        <v>113</v>
      </c>
      <c r="N45" s="143"/>
      <c r="O45" s="47"/>
      <c r="Q45" s="50"/>
      <c r="R45" s="1"/>
      <c r="S45" s="53"/>
    </row>
  </sheetData>
  <mergeCells count="26">
    <mergeCell ref="A19:A22"/>
    <mergeCell ref="B20:B21"/>
    <mergeCell ref="A8:B8"/>
    <mergeCell ref="A13:B13"/>
    <mergeCell ref="A15:A16"/>
    <mergeCell ref="B15:B16"/>
    <mergeCell ref="A12:B12"/>
    <mergeCell ref="O2:O3"/>
    <mergeCell ref="A7:B7"/>
    <mergeCell ref="A10:B10"/>
    <mergeCell ref="A11:B11"/>
    <mergeCell ref="N15:N16"/>
    <mergeCell ref="K15:K16"/>
    <mergeCell ref="L15:L16"/>
    <mergeCell ref="M15:M16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</mergeCells>
  <phoneticPr fontId="3"/>
  <conditionalFormatting sqref="C15:C16">
    <cfRule type="expression" dxfId="617" priority="21">
      <formula>COUNTIF(#REF!,"*未*")</formula>
    </cfRule>
    <cfRule type="expression" dxfId="616" priority="19">
      <formula>COUNTIF(#REF!,"*済*")</formula>
    </cfRule>
    <cfRule type="expression" dxfId="615" priority="20">
      <formula>COUNTIF(#REF!,"*一部*")</formula>
    </cfRule>
  </conditionalFormatting>
  <conditionalFormatting sqref="E12:F13 J12:J13">
    <cfRule type="expression" dxfId="614" priority="39">
      <formula>COUNTIF(#REF!,"*未*")</formula>
    </cfRule>
    <cfRule type="expression" dxfId="613" priority="38">
      <formula>COUNTIF(#REF!,"*一部*")</formula>
    </cfRule>
    <cfRule type="expression" dxfId="612" priority="37">
      <formula>COUNTIF(#REF!,"*済*")</formula>
    </cfRule>
  </conditionalFormatting>
  <conditionalFormatting sqref="E15:F16">
    <cfRule type="expression" dxfId="611" priority="10">
      <formula>COUNTIF(#REF!,"*済*")</formula>
    </cfRule>
    <cfRule type="expression" dxfId="610" priority="11">
      <formula>COUNTIF(#REF!,"*一部*")</formula>
    </cfRule>
    <cfRule type="expression" dxfId="609" priority="12">
      <formula>COUNTIF(#REF!,"*未*")</formula>
    </cfRule>
  </conditionalFormatting>
  <conditionalFormatting sqref="E7:G9 J7:K9">
    <cfRule type="expression" dxfId="608" priority="4">
      <formula>COUNTIF(#REF!,"*済*")</formula>
    </cfRule>
    <cfRule type="expression" dxfId="607" priority="5">
      <formula>COUNTIF(#REF!,"*一部*")</formula>
    </cfRule>
    <cfRule type="expression" dxfId="606" priority="6">
      <formula>COUNTIF(#REF!,"*未*")</formula>
    </cfRule>
  </conditionalFormatting>
  <conditionalFormatting sqref="E10:G11">
    <cfRule type="expression" dxfId="605" priority="40">
      <formula>COUNTIF(#REF!,"*済*")</formula>
    </cfRule>
    <cfRule type="expression" dxfId="604" priority="41">
      <formula>COUNTIF(#REF!,"*一部*")</formula>
    </cfRule>
    <cfRule type="expression" dxfId="603" priority="42">
      <formula>COUNTIF(#REF!,"*未*")</formula>
    </cfRule>
  </conditionalFormatting>
  <conditionalFormatting sqref="E7:H9">
    <cfRule type="expression" dxfId="602" priority="1">
      <formula>COUNTIF(#REF!,"*済*")</formula>
    </cfRule>
    <cfRule type="expression" dxfId="601" priority="2">
      <formula>COUNTIF(#REF!,"*一部*")</formula>
    </cfRule>
    <cfRule type="expression" dxfId="600" priority="3">
      <formula>COUNTIF(#REF!,"*未*")</formula>
    </cfRule>
  </conditionalFormatting>
  <conditionalFormatting sqref="E10:H11">
    <cfRule type="expression" dxfId="599" priority="36">
      <formula>COUNTIF(#REF!,"*未*")</formula>
    </cfRule>
    <cfRule type="expression" dxfId="598" priority="35">
      <formula>COUNTIF(#REF!,"*一部*")</formula>
    </cfRule>
    <cfRule type="expression" dxfId="597" priority="34">
      <formula>COUNTIF(#REF!,"*済*")</formula>
    </cfRule>
  </conditionalFormatting>
  <conditionalFormatting sqref="F12:F13">
    <cfRule type="expression" dxfId="596" priority="45">
      <formula>COUNTIF(#REF!,"*未*")</formula>
    </cfRule>
    <cfRule type="expression" dxfId="595" priority="43">
      <formula>COUNTIF(#REF!,"*済*")</formula>
    </cfRule>
    <cfRule type="expression" dxfId="594" priority="44">
      <formula>COUNTIF(#REF!,"*一部*")</formula>
    </cfRule>
    <cfRule type="expression" dxfId="593" priority="46">
      <formula>COUNTIF(#REF!,"*済*")</formula>
    </cfRule>
    <cfRule type="expression" dxfId="592" priority="47">
      <formula>COUNTIF(#REF!,"*一部*")</formula>
    </cfRule>
    <cfRule type="expression" dxfId="591" priority="48">
      <formula>COUNTIF(#REF!,"*未*")</formula>
    </cfRule>
  </conditionalFormatting>
  <conditionalFormatting sqref="F15:F16">
    <cfRule type="expression" dxfId="590" priority="15">
      <formula>COUNTIF(#REF!,"*未*")</formula>
    </cfRule>
    <cfRule type="expression" dxfId="589" priority="16">
      <formula>COUNTIF(#REF!,"*済*")</formula>
    </cfRule>
    <cfRule type="expression" dxfId="588" priority="17">
      <formula>COUNTIF(#REF!,"*一部*")</formula>
    </cfRule>
    <cfRule type="expression" dxfId="587" priority="18">
      <formula>COUNTIF(#REF!,"*未*")</formula>
    </cfRule>
    <cfRule type="expression" dxfId="586" priority="13">
      <formula>COUNTIF(#REF!,"*済*")</formula>
    </cfRule>
    <cfRule type="expression" dxfId="585" priority="14">
      <formula>COUNTIF(#REF!,"*一部*")</formula>
    </cfRule>
  </conditionalFormatting>
  <conditionalFormatting sqref="H7:H13">
    <cfRule type="expression" dxfId="584" priority="28">
      <formula>COUNTIF(#REF!,"*済*")</formula>
    </cfRule>
    <cfRule type="expression" dxfId="583" priority="29">
      <formula>COUNTIF(#REF!,"*一部*")</formula>
    </cfRule>
    <cfRule type="expression" dxfId="582" priority="30">
      <formula>COUNTIF(#REF!,"*未*")</formula>
    </cfRule>
  </conditionalFormatting>
  <conditionalFormatting sqref="H12:H13">
    <cfRule type="expression" dxfId="581" priority="25">
      <formula>COUNTIF(#REF!,"*済*")</formula>
    </cfRule>
    <cfRule type="expression" dxfId="580" priority="27">
      <formula>COUNTIF(#REF!,"*未*")</formula>
    </cfRule>
    <cfRule type="expression" dxfId="579" priority="26">
      <formula>COUNTIF(#REF!,"*一部*")</formula>
    </cfRule>
    <cfRule type="expression" dxfId="578" priority="31">
      <formula>COUNTIF(#REF!,"*済*")</formula>
    </cfRule>
    <cfRule type="expression" dxfId="577" priority="32">
      <formula>COUNTIF(#REF!,"*一部*")</formula>
    </cfRule>
    <cfRule type="expression" dxfId="576" priority="33">
      <formula>COUNTIF(#REF!,"*未*")</formula>
    </cfRule>
  </conditionalFormatting>
  <conditionalFormatting sqref="J15:J16">
    <cfRule type="expression" dxfId="575" priority="24">
      <formula>COUNTIF(#REF!,"*未*")</formula>
    </cfRule>
    <cfRule type="expression" dxfId="574" priority="23">
      <formula>COUNTIF(#REF!,"*一部*")</formula>
    </cfRule>
    <cfRule type="expression" dxfId="573" priority="22">
      <formula>COUNTIF(#REF!,"*済*")</formula>
    </cfRule>
  </conditionalFormatting>
  <conditionalFormatting sqref="J7:K11">
    <cfRule type="expression" dxfId="572" priority="7">
      <formula>COUNTIF(#REF!,"*済*")</formula>
    </cfRule>
    <cfRule type="expression" dxfId="571" priority="9">
      <formula>COUNTIF(#REF!,"*未*")</formula>
    </cfRule>
    <cfRule type="expression" dxfId="570" priority="8">
      <formula>COUNTIF(#REF!,"*一部*")</formula>
    </cfRule>
  </conditionalFormatting>
  <conditionalFormatting sqref="J10:K11">
    <cfRule type="expression" dxfId="569" priority="49">
      <formula>COUNTIF(#REF!,"*済*")</formula>
    </cfRule>
    <cfRule type="expression" dxfId="568" priority="50">
      <formula>COUNTIF(#REF!,"*一部*")</formula>
    </cfRule>
    <cfRule type="expression" dxfId="567" priority="51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49AB-7E17-446E-AEBF-5D6231EF5DC3}">
  <sheetPr>
    <pageSetUpPr fitToPage="1"/>
  </sheetPr>
  <dimension ref="A1:S44"/>
  <sheetViews>
    <sheetView zoomScaleNormal="100" workbookViewId="0">
      <selection activeCell="H5" sqref="H5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27.33203125" style="44" customWidth="1"/>
    <col min="11" max="12" width="10.77734375" style="1" customWidth="1"/>
    <col min="13" max="13" width="12.33203125" style="48" bestFit="1" customWidth="1"/>
    <col min="14" max="14" width="13.44140625" style="143" customWidth="1"/>
    <col min="15" max="15" width="13" style="47" customWidth="1"/>
    <col min="16" max="16" width="11.33203125" style="48" customWidth="1"/>
    <col min="17" max="17" width="9.109375" style="50" bestFit="1" customWidth="1"/>
    <col min="18" max="18" width="8.88671875" style="1"/>
    <col min="19" max="19" width="13.33203125" style="53" bestFit="1" customWidth="1"/>
  </cols>
  <sheetData>
    <row r="1" spans="1:19" ht="32.25" customHeight="1" thickBot="1">
      <c r="A1" s="806" t="s">
        <v>278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678"/>
    </row>
    <row r="2" spans="1:19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12" t="s">
        <v>5</v>
      </c>
      <c r="H2" s="814" t="s">
        <v>31</v>
      </c>
      <c r="I2" s="816" t="s">
        <v>6</v>
      </c>
      <c r="J2" s="818" t="s">
        <v>7</v>
      </c>
      <c r="K2" s="820" t="s">
        <v>8</v>
      </c>
      <c r="L2" s="822" t="s">
        <v>9</v>
      </c>
      <c r="M2" s="436" t="s">
        <v>52</v>
      </c>
      <c r="N2" s="663" t="s">
        <v>156</v>
      </c>
      <c r="O2" s="799"/>
      <c r="R2" s="52"/>
    </row>
    <row r="3" spans="1:19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437" t="s">
        <v>53</v>
      </c>
      <c r="N3" s="664" t="s">
        <v>53</v>
      </c>
      <c r="O3" s="799"/>
      <c r="P3" s="49"/>
      <c r="Q3" s="51"/>
      <c r="R3" s="6"/>
      <c r="S3" s="54"/>
    </row>
    <row r="4" spans="1:19" ht="40.049999999999997" customHeight="1" thickTop="1">
      <c r="A4" s="487">
        <v>46129</v>
      </c>
      <c r="B4" s="488" t="s">
        <v>13</v>
      </c>
      <c r="C4" s="423">
        <v>68867</v>
      </c>
      <c r="D4" s="13">
        <f>C4*8.5</f>
        <v>585369.5</v>
      </c>
      <c r="E4" s="423">
        <v>92659</v>
      </c>
      <c r="F4" s="423">
        <v>181226</v>
      </c>
      <c r="G4" s="423"/>
      <c r="H4" s="423">
        <f>D4+F4+G4</f>
        <v>766595.5</v>
      </c>
      <c r="I4" s="489">
        <f>H4*1.1</f>
        <v>843255.05</v>
      </c>
      <c r="J4" s="428" t="s">
        <v>281</v>
      </c>
      <c r="K4" s="660">
        <v>8760</v>
      </c>
      <c r="L4" s="661">
        <v>4451</v>
      </c>
      <c r="M4" s="666">
        <v>264257</v>
      </c>
      <c r="N4" s="662">
        <f>K4+L4+M4</f>
        <v>277468</v>
      </c>
      <c r="O4" s="3"/>
      <c r="P4" s="3"/>
    </row>
    <row r="5" spans="1:19" ht="40.049999999999997" customHeight="1">
      <c r="A5" s="461">
        <v>46136</v>
      </c>
      <c r="B5" s="490" t="s">
        <v>14</v>
      </c>
      <c r="C5" s="10">
        <v>81506</v>
      </c>
      <c r="D5" s="10">
        <v>692801</v>
      </c>
      <c r="E5" s="491">
        <v>410558</v>
      </c>
      <c r="F5" s="10">
        <v>936415</v>
      </c>
      <c r="G5" s="10">
        <v>5000</v>
      </c>
      <c r="H5" s="10">
        <f>D5+F5+G5</f>
        <v>1634216</v>
      </c>
      <c r="I5" s="137">
        <f>H5*1.1</f>
        <v>1797637.6</v>
      </c>
      <c r="J5" s="721" t="s">
        <v>296</v>
      </c>
      <c r="K5" s="462">
        <v>6780</v>
      </c>
      <c r="L5" s="463">
        <v>4831</v>
      </c>
      <c r="M5" s="464">
        <v>348452</v>
      </c>
      <c r="N5" s="659">
        <f>K5+L5+M5</f>
        <v>360063</v>
      </c>
      <c r="O5" s="3"/>
      <c r="P5" s="3"/>
    </row>
    <row r="6" spans="1:19" ht="8.4" customHeight="1">
      <c r="A6" s="465"/>
      <c r="B6" s="317"/>
      <c r="C6" s="171"/>
      <c r="D6" s="171"/>
      <c r="E6" s="171"/>
      <c r="F6" s="171"/>
      <c r="G6" s="171"/>
      <c r="H6" s="171"/>
      <c r="I6" s="355"/>
      <c r="J6" s="400"/>
      <c r="K6" s="445"/>
      <c r="L6" s="446"/>
      <c r="M6" s="667"/>
      <c r="N6" s="438"/>
      <c r="O6" s="3"/>
      <c r="P6" s="3"/>
    </row>
    <row r="7" spans="1:19" ht="40.049999999999997" customHeight="1">
      <c r="A7" s="804" t="s">
        <v>16</v>
      </c>
      <c r="B7" s="805"/>
      <c r="C7" s="699"/>
      <c r="D7" s="688"/>
      <c r="E7" s="689">
        <v>10000</v>
      </c>
      <c r="F7" s="688">
        <v>40000</v>
      </c>
      <c r="G7" s="690"/>
      <c r="H7" s="688">
        <f>F7</f>
        <v>40000</v>
      </c>
      <c r="I7" s="691">
        <f>H7*1.1</f>
        <v>44000</v>
      </c>
      <c r="J7" s="345" t="s">
        <v>285</v>
      </c>
      <c r="K7" s="466"/>
      <c r="L7" s="453"/>
      <c r="M7" s="668">
        <v>33000</v>
      </c>
      <c r="N7" s="455">
        <v>33000</v>
      </c>
      <c r="O7" s="3"/>
      <c r="P7" s="3"/>
    </row>
    <row r="8" spans="1:19" ht="12.6" customHeight="1">
      <c r="A8" s="702"/>
      <c r="B8" s="409"/>
      <c r="C8" s="703"/>
      <c r="D8" s="704"/>
      <c r="E8" s="410"/>
      <c r="F8" s="705"/>
      <c r="G8" s="706"/>
      <c r="H8" s="703"/>
      <c r="I8" s="707"/>
      <c r="J8" s="708"/>
      <c r="K8" s="709"/>
      <c r="L8" s="709"/>
      <c r="M8" s="710"/>
      <c r="N8" s="455"/>
      <c r="O8" s="3"/>
      <c r="P8" s="3"/>
    </row>
    <row r="9" spans="1:19" ht="40.049999999999997" customHeight="1">
      <c r="A9" s="804" t="s">
        <v>167</v>
      </c>
      <c r="B9" s="805"/>
      <c r="C9" s="699"/>
      <c r="D9" s="688"/>
      <c r="E9" s="689">
        <v>135800</v>
      </c>
      <c r="F9" s="688">
        <v>408265</v>
      </c>
      <c r="G9" s="690"/>
      <c r="H9" s="688">
        <v>408265</v>
      </c>
      <c r="I9" s="691">
        <f>H9*1.1</f>
        <v>449091.50000000006</v>
      </c>
      <c r="J9" s="345"/>
      <c r="K9" s="466">
        <v>9530</v>
      </c>
      <c r="L9" s="453">
        <v>1853</v>
      </c>
      <c r="M9" s="668">
        <v>192070</v>
      </c>
      <c r="N9" s="455">
        <f>SUM(K9:M9)</f>
        <v>203453</v>
      </c>
      <c r="O9" s="3"/>
      <c r="P9" s="3"/>
    </row>
    <row r="10" spans="1:19" ht="40.049999999999997" customHeight="1">
      <c r="A10" s="793" t="s">
        <v>279</v>
      </c>
      <c r="B10" s="794"/>
      <c r="C10" s="700"/>
      <c r="D10" s="692"/>
      <c r="E10" s="693">
        <v>167150</v>
      </c>
      <c r="F10" s="694">
        <v>604115</v>
      </c>
      <c r="G10" s="695"/>
      <c r="H10" s="694">
        <v>604115</v>
      </c>
      <c r="I10" s="696">
        <f>H10*1.1</f>
        <v>664526.5</v>
      </c>
      <c r="J10" s="346"/>
      <c r="K10" s="443">
        <v>8650</v>
      </c>
      <c r="L10" s="442">
        <v>2730</v>
      </c>
      <c r="M10" s="669">
        <v>232558</v>
      </c>
      <c r="N10" s="456">
        <f t="shared" ref="N10:N20" si="0">K10+L10+M10</f>
        <v>243938</v>
      </c>
      <c r="O10" s="3"/>
      <c r="P10" s="3"/>
    </row>
    <row r="11" spans="1:19" ht="40.049999999999997" customHeight="1">
      <c r="A11" s="793" t="s">
        <v>280</v>
      </c>
      <c r="B11" s="794"/>
      <c r="C11" s="700"/>
      <c r="D11" s="694"/>
      <c r="E11" s="694">
        <v>103840</v>
      </c>
      <c r="F11" s="694">
        <v>362089</v>
      </c>
      <c r="G11" s="694"/>
      <c r="H11" s="694">
        <v>362089</v>
      </c>
      <c r="I11" s="696">
        <f>H11*1.1</f>
        <v>398297.9</v>
      </c>
      <c r="J11" s="346"/>
      <c r="K11" s="711"/>
      <c r="L11" s="712"/>
      <c r="M11" s="713">
        <v>43233</v>
      </c>
      <c r="N11" s="714">
        <f t="shared" ref="N11" si="1">K11+L11+M11</f>
        <v>43233</v>
      </c>
      <c r="O11" s="57"/>
      <c r="P11" s="3"/>
    </row>
    <row r="12" spans="1:19" ht="40.049999999999997" customHeight="1">
      <c r="A12" s="837" t="s">
        <v>284</v>
      </c>
      <c r="B12" s="838"/>
      <c r="C12" s="701"/>
      <c r="D12" s="697"/>
      <c r="E12" s="697">
        <v>100340</v>
      </c>
      <c r="F12" s="697">
        <v>337285</v>
      </c>
      <c r="G12" s="697"/>
      <c r="H12" s="697">
        <v>337285</v>
      </c>
      <c r="I12" s="698">
        <f>H12*1.1</f>
        <v>371013.50000000006</v>
      </c>
      <c r="J12" s="346"/>
      <c r="K12" s="394">
        <v>2750</v>
      </c>
      <c r="L12" s="454">
        <v>1417</v>
      </c>
      <c r="M12" s="670">
        <v>115306</v>
      </c>
      <c r="N12" s="659">
        <f t="shared" si="0"/>
        <v>119473</v>
      </c>
      <c r="O12" s="57"/>
      <c r="P12" s="3"/>
    </row>
    <row r="13" spans="1:19" ht="10.8" customHeight="1">
      <c r="A13" s="465"/>
      <c r="B13" s="317"/>
      <c r="C13" s="171"/>
      <c r="D13" s="171"/>
      <c r="E13" s="171"/>
      <c r="F13" s="171"/>
      <c r="G13" s="171"/>
      <c r="H13" s="171"/>
      <c r="I13" s="355"/>
      <c r="J13" s="400"/>
      <c r="K13" s="319"/>
      <c r="L13" s="445"/>
      <c r="M13" s="667"/>
      <c r="N13" s="675"/>
      <c r="O13" s="58"/>
      <c r="P13" s="3"/>
    </row>
    <row r="14" spans="1:19" s="1" customFormat="1" ht="40.049999999999997" customHeight="1">
      <c r="A14" s="795" t="s">
        <v>283</v>
      </c>
      <c r="B14" s="797" t="s">
        <v>117</v>
      </c>
      <c r="C14" s="163">
        <v>6500</v>
      </c>
      <c r="D14" s="99">
        <v>65000</v>
      </c>
      <c r="E14" s="140">
        <v>19900</v>
      </c>
      <c r="F14" s="140">
        <v>29850</v>
      </c>
      <c r="G14" s="99"/>
      <c r="H14" s="99">
        <v>94850</v>
      </c>
      <c r="I14" s="696">
        <f>H14*1.1</f>
        <v>104335.00000000001</v>
      </c>
      <c r="J14" s="193" t="s">
        <v>276</v>
      </c>
      <c r="K14" s="782"/>
      <c r="L14" s="783"/>
      <c r="M14" s="824">
        <v>92175</v>
      </c>
      <c r="N14" s="786">
        <f>K14+L14+M14</f>
        <v>92175</v>
      </c>
      <c r="O14" s="58"/>
      <c r="P14" s="3"/>
      <c r="Q14" s="50"/>
      <c r="S14" s="55"/>
    </row>
    <row r="15" spans="1:19" s="1" customFormat="1" ht="40.049999999999997" customHeight="1">
      <c r="A15" s="796"/>
      <c r="B15" s="798"/>
      <c r="C15" s="165">
        <v>7150</v>
      </c>
      <c r="D15" s="135">
        <v>71500</v>
      </c>
      <c r="E15" s="10">
        <v>10500</v>
      </c>
      <c r="F15" s="10">
        <v>15750</v>
      </c>
      <c r="G15" s="100"/>
      <c r="H15" s="135">
        <v>87250</v>
      </c>
      <c r="I15" s="696">
        <f>H15*1.1</f>
        <v>95975.000000000015</v>
      </c>
      <c r="J15" s="33" t="s">
        <v>130</v>
      </c>
      <c r="K15" s="782"/>
      <c r="L15" s="783"/>
      <c r="M15" s="824"/>
      <c r="N15" s="787"/>
      <c r="O15" s="47"/>
      <c r="P15" s="3"/>
      <c r="Q15" s="50"/>
      <c r="S15" s="55"/>
    </row>
    <row r="16" spans="1:19" s="1" customFormat="1" ht="9.6" customHeight="1">
      <c r="A16" s="465"/>
      <c r="B16" s="376"/>
      <c r="C16" s="358"/>
      <c r="D16" s="358"/>
      <c r="E16" s="358"/>
      <c r="F16" s="358"/>
      <c r="G16" s="358"/>
      <c r="H16" s="358"/>
      <c r="I16" s="401"/>
      <c r="J16" s="356"/>
      <c r="K16" s="318"/>
      <c r="L16" s="319"/>
      <c r="M16" s="439"/>
      <c r="N16" s="439"/>
      <c r="O16" s="47"/>
      <c r="P16" s="3"/>
      <c r="Q16" s="50"/>
      <c r="S16" s="55"/>
    </row>
    <row r="17" spans="1:19" s="1" customFormat="1" ht="9.6" customHeight="1">
      <c r="A17" s="465"/>
      <c r="B17" s="376"/>
      <c r="C17" s="358"/>
      <c r="D17" s="358"/>
      <c r="E17" s="358"/>
      <c r="F17" s="358"/>
      <c r="G17" s="358"/>
      <c r="H17" s="358"/>
      <c r="I17" s="401"/>
      <c r="J17" s="400"/>
      <c r="K17" s="319"/>
      <c r="L17" s="319"/>
      <c r="M17" s="439"/>
      <c r="N17" s="439"/>
      <c r="O17" s="47"/>
      <c r="P17" s="3"/>
      <c r="Q17" s="50"/>
      <c r="S17" s="55"/>
    </row>
    <row r="18" spans="1:19" s="1" customFormat="1" ht="40.049999999999997" customHeight="1">
      <c r="A18" s="788" t="s">
        <v>181</v>
      </c>
      <c r="B18" s="402" t="s">
        <v>28</v>
      </c>
      <c r="C18" s="379">
        <f t="shared" ref="C18:D18" si="2">C4+C5</f>
        <v>150373</v>
      </c>
      <c r="D18" s="379">
        <f t="shared" si="2"/>
        <v>1278170.5</v>
      </c>
      <c r="E18" s="379">
        <f>E4+E5+E7</f>
        <v>513217</v>
      </c>
      <c r="F18" s="379">
        <f>F4+F5+F7</f>
        <v>1157641</v>
      </c>
      <c r="G18" s="379">
        <f>G4+G5</f>
        <v>5000</v>
      </c>
      <c r="H18" s="379">
        <f>H4+H5+H7</f>
        <v>2440811.5</v>
      </c>
      <c r="I18" s="481">
        <f>I4+I5+I7</f>
        <v>2684892.6500000004</v>
      </c>
      <c r="J18" s="404" t="s">
        <v>131</v>
      </c>
      <c r="K18" s="451"/>
      <c r="L18" s="452"/>
      <c r="M18" s="671"/>
      <c r="N18" s="439">
        <f t="shared" si="0"/>
        <v>0</v>
      </c>
      <c r="O18" s="47"/>
      <c r="P18" s="3"/>
      <c r="Q18" s="50"/>
      <c r="S18" s="55"/>
    </row>
    <row r="19" spans="1:19" s="1" customFormat="1" ht="40.049999999999997" customHeight="1">
      <c r="A19" s="789"/>
      <c r="B19" s="840" t="s">
        <v>5</v>
      </c>
      <c r="C19" s="235"/>
      <c r="D19" s="235"/>
      <c r="E19" s="235">
        <f>E9+E10+E11+E12</f>
        <v>507130</v>
      </c>
      <c r="F19" s="235">
        <f>F9+F10+F11+F12</f>
        <v>1711754</v>
      </c>
      <c r="G19" s="235"/>
      <c r="H19" s="235">
        <f>H9+H10+H11+H12</f>
        <v>1711754</v>
      </c>
      <c r="I19" s="480">
        <f>I9+I10+I11+I12</f>
        <v>1882929.4</v>
      </c>
      <c r="J19" s="403" t="s">
        <v>132</v>
      </c>
      <c r="K19" s="476"/>
      <c r="L19" s="477"/>
      <c r="M19" s="672"/>
      <c r="N19" s="662">
        <f>K19+L19+M19</f>
        <v>0</v>
      </c>
      <c r="O19" s="47"/>
      <c r="P19" s="3"/>
      <c r="Q19" s="50"/>
      <c r="S19" s="55"/>
    </row>
    <row r="20" spans="1:19" s="1" customFormat="1" ht="40.049999999999997" customHeight="1" thickBot="1">
      <c r="A20" s="789"/>
      <c r="B20" s="841"/>
      <c r="C20" s="189"/>
      <c r="D20" s="189"/>
      <c r="E20" s="189">
        <f>SUM(E14:E15)</f>
        <v>30400</v>
      </c>
      <c r="F20" s="189">
        <f>SUM(F14:F15)</f>
        <v>45600</v>
      </c>
      <c r="G20" s="189"/>
      <c r="H20" s="189">
        <f>SUM(H14:H15)</f>
        <v>182100</v>
      </c>
      <c r="I20" s="482">
        <f>SUM(I14:I15)</f>
        <v>200310.00000000003</v>
      </c>
      <c r="J20" s="405" t="s">
        <v>282</v>
      </c>
      <c r="K20" s="468"/>
      <c r="L20" s="469"/>
      <c r="M20" s="673"/>
      <c r="N20" s="665">
        <f t="shared" si="0"/>
        <v>0</v>
      </c>
      <c r="O20" s="47"/>
      <c r="P20" s="3"/>
      <c r="Q20" s="50"/>
      <c r="S20" s="55"/>
    </row>
    <row r="21" spans="1:19" s="1" customFormat="1" ht="40.049999999999997" customHeight="1" thickTop="1" thickBot="1">
      <c r="A21" s="790"/>
      <c r="B21" s="471" t="s">
        <v>19</v>
      </c>
      <c r="C21" s="440"/>
      <c r="D21" s="440"/>
      <c r="E21" s="440">
        <f t="shared" ref="E21:H21" si="3">SUM(E18:E20)</f>
        <v>1050747</v>
      </c>
      <c r="F21" s="440">
        <f t="shared" si="3"/>
        <v>2914995</v>
      </c>
      <c r="G21" s="440">
        <f>SUM(G18:G20)</f>
        <v>5000</v>
      </c>
      <c r="H21" s="440">
        <f t="shared" si="3"/>
        <v>4334665.5</v>
      </c>
      <c r="I21" s="441">
        <f>SUM(I18:I20)</f>
        <v>4768132.0500000007</v>
      </c>
      <c r="J21" s="483"/>
      <c r="K21" s="440">
        <v>36470</v>
      </c>
      <c r="L21" s="458">
        <v>15282</v>
      </c>
      <c r="M21" s="674">
        <v>1321051</v>
      </c>
      <c r="N21" s="679">
        <f>K21+L21+M21</f>
        <v>1372803</v>
      </c>
      <c r="O21" s="47"/>
      <c r="P21" s="3"/>
      <c r="Q21" s="50"/>
      <c r="S21" s="55"/>
    </row>
    <row r="22" spans="1:19" s="1" customFormat="1" ht="53.4" customHeight="1">
      <c r="A22"/>
      <c r="B22" s="40" t="s">
        <v>20</v>
      </c>
      <c r="I22" s="41" t="s">
        <v>292</v>
      </c>
      <c r="J22" s="44"/>
      <c r="M22" s="143" t="s">
        <v>293</v>
      </c>
      <c r="O22" s="47"/>
      <c r="P22" s="48"/>
      <c r="Q22" s="50"/>
      <c r="S22" s="55"/>
    </row>
    <row r="23" spans="1:19">
      <c r="L23" s="48"/>
    </row>
    <row r="24" spans="1:19" ht="30" customHeight="1"/>
    <row r="26" spans="1:19">
      <c r="J26" s="435"/>
    </row>
    <row r="27" spans="1:19">
      <c r="J27" s="435"/>
    </row>
    <row r="44" spans="1:19" s="48" customFormat="1">
      <c r="A44"/>
      <c r="B44" s="42"/>
      <c r="C44" s="1"/>
      <c r="D44" s="1"/>
      <c r="E44" s="1"/>
      <c r="F44" s="1"/>
      <c r="G44" s="1"/>
      <c r="H44" s="1"/>
      <c r="I44" s="36"/>
      <c r="J44" s="44"/>
      <c r="K44" s="1"/>
      <c r="L44" s="48" t="s">
        <v>51</v>
      </c>
      <c r="M44" s="48" t="s">
        <v>113</v>
      </c>
      <c r="N44" s="143"/>
      <c r="O44" s="47"/>
      <c r="Q44" s="50"/>
      <c r="R44" s="1"/>
      <c r="S44" s="53"/>
    </row>
  </sheetData>
  <mergeCells count="25">
    <mergeCell ref="A18:A21"/>
    <mergeCell ref="B19:B20"/>
    <mergeCell ref="A7:B7"/>
    <mergeCell ref="O2:O3"/>
    <mergeCell ref="A9:B9"/>
    <mergeCell ref="A10:B10"/>
    <mergeCell ref="A12:B12"/>
    <mergeCell ref="A14:A15"/>
    <mergeCell ref="B14:B15"/>
    <mergeCell ref="K14:K15"/>
    <mergeCell ref="L14:L15"/>
    <mergeCell ref="M14:M15"/>
    <mergeCell ref="N14:N15"/>
    <mergeCell ref="L2:L3"/>
    <mergeCell ref="A11:B11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</mergeCells>
  <phoneticPr fontId="3"/>
  <conditionalFormatting sqref="C14:C15">
    <cfRule type="expression" dxfId="566" priority="42">
      <formula>COUNTIF(#REF!,"*未*")</formula>
    </cfRule>
    <cfRule type="expression" dxfId="565" priority="41">
      <formula>COUNTIF(#REF!,"*一部*")</formula>
    </cfRule>
    <cfRule type="expression" dxfId="564" priority="40">
      <formula>COUNTIF(#REF!,"*済*")</formula>
    </cfRule>
  </conditionalFormatting>
  <conditionalFormatting sqref="E11:F12 J11:J12">
    <cfRule type="expression" dxfId="563" priority="60">
      <formula>COUNTIF(#REF!,"*未*")</formula>
    </cfRule>
    <cfRule type="expression" dxfId="562" priority="59">
      <formula>COUNTIF(#REF!,"*一部*")</formula>
    </cfRule>
    <cfRule type="expression" dxfId="561" priority="58">
      <formula>COUNTIF(#REF!,"*済*")</formula>
    </cfRule>
  </conditionalFormatting>
  <conditionalFormatting sqref="E14:F15">
    <cfRule type="expression" dxfId="560" priority="31">
      <formula>COUNTIF(#REF!,"*済*")</formula>
    </cfRule>
    <cfRule type="expression" dxfId="559" priority="32">
      <formula>COUNTIF(#REF!,"*一部*")</formula>
    </cfRule>
    <cfRule type="expression" dxfId="558" priority="33">
      <formula>COUNTIF(#REF!,"*未*")</formula>
    </cfRule>
  </conditionalFormatting>
  <conditionalFormatting sqref="E7:G8 J7:K8">
    <cfRule type="expression" dxfId="557" priority="15">
      <formula>COUNTIF(#REF!,"*未*")</formula>
    </cfRule>
    <cfRule type="expression" dxfId="556" priority="13">
      <formula>COUNTIF(#REF!,"*済*")</formula>
    </cfRule>
    <cfRule type="expression" dxfId="555" priority="14">
      <formula>COUNTIF(#REF!,"*一部*")</formula>
    </cfRule>
  </conditionalFormatting>
  <conditionalFormatting sqref="E9:G10">
    <cfRule type="expression" dxfId="554" priority="63">
      <formula>COUNTIF(#REF!,"*未*")</formula>
    </cfRule>
    <cfRule type="expression" dxfId="553" priority="62">
      <formula>COUNTIF(#REF!,"*一部*")</formula>
    </cfRule>
    <cfRule type="expression" dxfId="552" priority="61">
      <formula>COUNTIF(#REF!,"*済*")</formula>
    </cfRule>
  </conditionalFormatting>
  <conditionalFormatting sqref="E7:H8">
    <cfRule type="expression" dxfId="551" priority="10">
      <formula>COUNTIF(#REF!,"*済*")</formula>
    </cfRule>
    <cfRule type="expression" dxfId="550" priority="11">
      <formula>COUNTIF(#REF!,"*一部*")</formula>
    </cfRule>
    <cfRule type="expression" dxfId="549" priority="12">
      <formula>COUNTIF(#REF!,"*未*")</formula>
    </cfRule>
  </conditionalFormatting>
  <conditionalFormatting sqref="E9:H10">
    <cfRule type="expression" dxfId="548" priority="57">
      <formula>COUNTIF(#REF!,"*未*")</formula>
    </cfRule>
    <cfRule type="expression" dxfId="547" priority="56">
      <formula>COUNTIF(#REF!,"*一部*")</formula>
    </cfRule>
    <cfRule type="expression" dxfId="546" priority="55">
      <formula>COUNTIF(#REF!,"*済*")</formula>
    </cfRule>
  </conditionalFormatting>
  <conditionalFormatting sqref="F11:F12">
    <cfRule type="expression" dxfId="545" priority="64">
      <formula>COUNTIF(#REF!,"*済*")</formula>
    </cfRule>
    <cfRule type="expression" dxfId="544" priority="65">
      <formula>COUNTIF(#REF!,"*一部*")</formula>
    </cfRule>
    <cfRule type="expression" dxfId="543" priority="66">
      <formula>COUNTIF(#REF!,"*未*")</formula>
    </cfRule>
    <cfRule type="expression" dxfId="542" priority="67">
      <formula>COUNTIF(#REF!,"*済*")</formula>
    </cfRule>
    <cfRule type="expression" dxfId="541" priority="68">
      <formula>COUNTIF(#REF!,"*一部*")</formula>
    </cfRule>
    <cfRule type="expression" dxfId="540" priority="69">
      <formula>COUNTIF(#REF!,"*未*")</formula>
    </cfRule>
  </conditionalFormatting>
  <conditionalFormatting sqref="F14:F15">
    <cfRule type="expression" dxfId="539" priority="39">
      <formula>COUNTIF(#REF!,"*未*")</formula>
    </cfRule>
    <cfRule type="expression" dxfId="538" priority="34">
      <formula>COUNTIF(#REF!,"*済*")</formula>
    </cfRule>
    <cfRule type="expression" dxfId="537" priority="35">
      <formula>COUNTIF(#REF!,"*一部*")</formula>
    </cfRule>
    <cfRule type="expression" dxfId="536" priority="36">
      <formula>COUNTIF(#REF!,"*未*")</formula>
    </cfRule>
    <cfRule type="expression" dxfId="535" priority="37">
      <formula>COUNTIF(#REF!,"*済*")</formula>
    </cfRule>
    <cfRule type="expression" dxfId="534" priority="38">
      <formula>COUNTIF(#REF!,"*一部*")</formula>
    </cfRule>
  </conditionalFormatting>
  <conditionalFormatting sqref="H7:H11">
    <cfRule type="expression" dxfId="533" priority="49">
      <formula>COUNTIF(#REF!,"*済*")</formula>
    </cfRule>
    <cfRule type="expression" dxfId="532" priority="50">
      <formula>COUNTIF(#REF!,"*一部*")</formula>
    </cfRule>
    <cfRule type="expression" dxfId="531" priority="51">
      <formula>COUNTIF(#REF!,"*未*")</formula>
    </cfRule>
  </conditionalFormatting>
  <conditionalFormatting sqref="H11">
    <cfRule type="expression" dxfId="530" priority="52">
      <formula>COUNTIF(#REF!,"*済*")</formula>
    </cfRule>
    <cfRule type="expression" dxfId="529" priority="53">
      <formula>COUNTIF(#REF!,"*一部*")</formula>
    </cfRule>
    <cfRule type="expression" dxfId="528" priority="54">
      <formula>COUNTIF(#REF!,"*未*")</formula>
    </cfRule>
  </conditionalFormatting>
  <conditionalFormatting sqref="H11:H12">
    <cfRule type="expression" dxfId="527" priority="9">
      <formula>COUNTIF(#REF!,"*未*")</formula>
    </cfRule>
    <cfRule type="expression" dxfId="526" priority="7">
      <formula>COUNTIF(#REF!,"*済*")</formula>
    </cfRule>
    <cfRule type="expression" dxfId="525" priority="8">
      <formula>COUNTIF(#REF!,"*一部*")</formula>
    </cfRule>
  </conditionalFormatting>
  <conditionalFormatting sqref="H12">
    <cfRule type="expression" dxfId="524" priority="1">
      <formula>COUNTIF(#REF!,"*済*")</formula>
    </cfRule>
    <cfRule type="expression" dxfId="523" priority="6">
      <formula>COUNTIF(#REF!,"*未*")</formula>
    </cfRule>
    <cfRule type="expression" dxfId="522" priority="5">
      <formula>COUNTIF(#REF!,"*一部*")</formula>
    </cfRule>
    <cfRule type="expression" dxfId="521" priority="4">
      <formula>COUNTIF(#REF!,"*済*")</formula>
    </cfRule>
    <cfRule type="expression" dxfId="520" priority="3">
      <formula>COUNTIF(#REF!,"*未*")</formula>
    </cfRule>
    <cfRule type="expression" dxfId="519" priority="2">
      <formula>COUNTIF(#REF!,"*一部*")</formula>
    </cfRule>
  </conditionalFormatting>
  <conditionalFormatting sqref="J14:J15">
    <cfRule type="expression" dxfId="518" priority="43">
      <formula>COUNTIF(#REF!,"*済*")</formula>
    </cfRule>
    <cfRule type="expression" dxfId="517" priority="44">
      <formula>COUNTIF(#REF!,"*一部*")</formula>
    </cfRule>
    <cfRule type="expression" dxfId="516" priority="45">
      <formula>COUNTIF(#REF!,"*未*")</formula>
    </cfRule>
  </conditionalFormatting>
  <conditionalFormatting sqref="J7:K10">
    <cfRule type="expression" dxfId="515" priority="17">
      <formula>COUNTIF(#REF!,"*一部*")</formula>
    </cfRule>
    <cfRule type="expression" dxfId="514" priority="16">
      <formula>COUNTIF(#REF!,"*済*")</formula>
    </cfRule>
    <cfRule type="expression" dxfId="513" priority="18">
      <formula>COUNTIF(#REF!,"*未*")</formula>
    </cfRule>
  </conditionalFormatting>
  <conditionalFormatting sqref="J9:K10">
    <cfRule type="expression" dxfId="512" priority="70">
      <formula>COUNTIF(#REF!,"*済*")</formula>
    </cfRule>
    <cfRule type="expression" dxfId="511" priority="71">
      <formula>COUNTIF(#REF!,"*一部*")</formula>
    </cfRule>
    <cfRule type="expression" dxfId="510" priority="72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8675-9324-4BF2-B72F-F63B3E313524}">
  <sheetPr>
    <pageSetUpPr fitToPage="1"/>
  </sheetPr>
  <dimension ref="A1:X43"/>
  <sheetViews>
    <sheetView zoomScale="112" zoomScaleNormal="112" workbookViewId="0">
      <selection activeCell="F3" sqref="F3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39.88671875" style="44" customWidth="1"/>
    <col min="11" max="12" width="10.77734375" style="1" customWidth="1"/>
    <col min="13" max="13" width="12.33203125" style="48" bestFit="1" customWidth="1"/>
    <col min="14" max="14" width="13.44140625" style="143" customWidth="1"/>
    <col min="15" max="15" width="11.33203125" style="680" customWidth="1"/>
    <col min="16" max="16" width="10.44140625" style="685" customWidth="1"/>
    <col min="17" max="17" width="11.33203125" style="683" customWidth="1"/>
    <col min="18" max="18" width="9.44140625" style="686" customWidth="1"/>
    <col min="19" max="19" width="9.6640625" style="47" customWidth="1"/>
    <col min="20" max="20" width="13" style="47" customWidth="1"/>
    <col min="21" max="21" width="11.33203125" style="48" customWidth="1"/>
    <col min="22" max="22" width="9.109375" style="50" bestFit="1" customWidth="1"/>
    <col min="23" max="23" width="8.88671875" style="1"/>
    <col min="24" max="24" width="13.33203125" style="53" bestFit="1" customWidth="1"/>
  </cols>
  <sheetData>
    <row r="1" spans="1:24" ht="32.25" customHeight="1" thickBot="1">
      <c r="A1" s="806" t="s">
        <v>147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678"/>
      <c r="P1" s="681"/>
      <c r="R1" s="682"/>
    </row>
    <row r="2" spans="1:24" ht="40.049999999999997" customHeight="1">
      <c r="A2" s="807" t="s">
        <v>1</v>
      </c>
      <c r="B2" s="809" t="s">
        <v>2</v>
      </c>
      <c r="C2" s="811" t="s">
        <v>3</v>
      </c>
      <c r="D2" s="802"/>
      <c r="E2" s="802" t="s">
        <v>65</v>
      </c>
      <c r="F2" s="803"/>
      <c r="G2" s="812" t="s">
        <v>5</v>
      </c>
      <c r="H2" s="814" t="s">
        <v>31</v>
      </c>
      <c r="I2" s="816" t="s">
        <v>6</v>
      </c>
      <c r="J2" s="818" t="s">
        <v>7</v>
      </c>
      <c r="K2" s="820" t="s">
        <v>8</v>
      </c>
      <c r="L2" s="822" t="s">
        <v>9</v>
      </c>
      <c r="M2" s="436" t="s">
        <v>52</v>
      </c>
      <c r="N2" s="663" t="s">
        <v>156</v>
      </c>
      <c r="O2" s="846" t="s">
        <v>157</v>
      </c>
      <c r="P2" s="845" t="s">
        <v>96</v>
      </c>
      <c r="Q2" s="848" t="s">
        <v>273</v>
      </c>
      <c r="R2" s="847" t="s">
        <v>274</v>
      </c>
      <c r="S2" s="799"/>
      <c r="T2" s="799"/>
      <c r="W2" s="52"/>
    </row>
    <row r="3" spans="1:24" s="7" customFormat="1" ht="40.049999999999997" customHeight="1" thickBot="1">
      <c r="A3" s="808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437" t="s">
        <v>53</v>
      </c>
      <c r="N3" s="664" t="s">
        <v>53</v>
      </c>
      <c r="O3" s="846"/>
      <c r="P3" s="846"/>
      <c r="Q3" s="848"/>
      <c r="R3" s="847"/>
      <c r="S3" s="799"/>
      <c r="T3" s="799"/>
      <c r="U3" s="49"/>
      <c r="V3" s="51"/>
      <c r="W3" s="6"/>
      <c r="X3" s="54"/>
    </row>
    <row r="4" spans="1:24" ht="40.049999999999997" customHeight="1" thickTop="1">
      <c r="A4" s="487">
        <v>46101</v>
      </c>
      <c r="B4" s="488" t="s">
        <v>13</v>
      </c>
      <c r="C4" s="423">
        <v>59693</v>
      </c>
      <c r="D4" s="13">
        <v>507391</v>
      </c>
      <c r="E4" s="423">
        <v>70536</v>
      </c>
      <c r="F4" s="423">
        <v>141072</v>
      </c>
      <c r="G4" s="423">
        <v>10000</v>
      </c>
      <c r="H4" s="423">
        <f>D4+F4+G4</f>
        <v>658463</v>
      </c>
      <c r="I4" s="489">
        <v>724309</v>
      </c>
      <c r="J4" s="428" t="s">
        <v>153</v>
      </c>
      <c r="K4" s="660">
        <v>9870</v>
      </c>
      <c r="L4" s="661">
        <v>3405</v>
      </c>
      <c r="M4" s="666">
        <v>282867</v>
      </c>
      <c r="N4" s="662">
        <f>K4+L4+M4</f>
        <v>296142</v>
      </c>
      <c r="O4" s="676">
        <f>I4-N4</f>
        <v>428167</v>
      </c>
      <c r="P4" s="676">
        <v>315623</v>
      </c>
      <c r="Q4" s="677">
        <f>M4/I4</f>
        <v>0.39053359822948491</v>
      </c>
      <c r="R4" s="677">
        <f>(I4-P4)/I4</f>
        <v>0.564242609162664</v>
      </c>
      <c r="S4" s="110"/>
      <c r="T4" s="3"/>
      <c r="U4" s="3"/>
    </row>
    <row r="5" spans="1:24" ht="40.049999999999997" customHeight="1">
      <c r="A5" s="461">
        <v>46108</v>
      </c>
      <c r="B5" s="490" t="s">
        <v>14</v>
      </c>
      <c r="C5" s="10">
        <v>73879</v>
      </c>
      <c r="D5" s="10">
        <v>627972</v>
      </c>
      <c r="E5" s="491">
        <v>587261</v>
      </c>
      <c r="F5" s="10">
        <v>1216545</v>
      </c>
      <c r="G5" s="10">
        <v>5000</v>
      </c>
      <c r="H5" s="10">
        <f>D5+F5+G5</f>
        <v>1849517</v>
      </c>
      <c r="I5" s="137">
        <v>2034469</v>
      </c>
      <c r="J5" s="425" t="s">
        <v>272</v>
      </c>
      <c r="K5" s="462">
        <v>11136</v>
      </c>
      <c r="L5" s="463">
        <v>4960</v>
      </c>
      <c r="M5" s="464">
        <v>368399</v>
      </c>
      <c r="N5" s="659">
        <f>K5+L5+M5</f>
        <v>384495</v>
      </c>
      <c r="O5" s="676">
        <f>I5-N5</f>
        <v>1649974</v>
      </c>
      <c r="P5" s="676">
        <v>465353</v>
      </c>
      <c r="Q5" s="677">
        <f>M5/I5</f>
        <v>0.18107869915933839</v>
      </c>
      <c r="R5" s="677">
        <f>(I5-P5)/I5</f>
        <v>0.77126562262683773</v>
      </c>
      <c r="S5" s="110"/>
      <c r="T5" s="3"/>
      <c r="U5" s="3"/>
    </row>
    <row r="6" spans="1:24" ht="8.4" customHeight="1">
      <c r="A6" s="465"/>
      <c r="B6" s="317"/>
      <c r="C6" s="171"/>
      <c r="D6" s="171"/>
      <c r="E6" s="171"/>
      <c r="F6" s="171"/>
      <c r="G6" s="171"/>
      <c r="H6" s="171"/>
      <c r="I6" s="355"/>
      <c r="J6" s="400"/>
      <c r="K6" s="445"/>
      <c r="L6" s="446"/>
      <c r="M6" s="667"/>
      <c r="N6" s="438"/>
      <c r="O6" s="676"/>
      <c r="P6" s="676"/>
      <c r="Q6" s="677"/>
      <c r="R6" s="677"/>
      <c r="S6" s="110"/>
      <c r="T6" s="3"/>
      <c r="U6" s="3"/>
    </row>
    <row r="7" spans="1:24" ht="40.049999999999997" customHeight="1">
      <c r="A7" s="831" t="s">
        <v>148</v>
      </c>
      <c r="B7" s="839"/>
      <c r="C7" s="99"/>
      <c r="D7" s="99"/>
      <c r="E7" s="484">
        <v>132560</v>
      </c>
      <c r="F7" s="99">
        <v>423649</v>
      </c>
      <c r="G7" s="122"/>
      <c r="H7" s="99">
        <v>423649</v>
      </c>
      <c r="I7" s="124">
        <f>H7*1.1</f>
        <v>466013.9</v>
      </c>
      <c r="J7" s="345"/>
      <c r="K7" s="466">
        <v>8670</v>
      </c>
      <c r="L7" s="453">
        <v>1709</v>
      </c>
      <c r="M7" s="668">
        <v>173485</v>
      </c>
      <c r="N7" s="455">
        <f t="shared" ref="N7:N19" si="0">K7+L7+M7</f>
        <v>183864</v>
      </c>
      <c r="O7" s="676">
        <f>I7-N7</f>
        <v>282149.90000000002</v>
      </c>
      <c r="P7" s="676">
        <v>192324</v>
      </c>
      <c r="Q7" s="677">
        <f>M7/I7</f>
        <v>0.37227430340597134</v>
      </c>
      <c r="R7" s="677">
        <f>(I7-P7)/I7</f>
        <v>0.58729986380234578</v>
      </c>
      <c r="S7" s="110"/>
      <c r="T7" s="3"/>
      <c r="U7" s="3"/>
    </row>
    <row r="8" spans="1:24" ht="40.049999999999997" customHeight="1">
      <c r="A8" s="843" t="s">
        <v>149</v>
      </c>
      <c r="B8" s="844"/>
      <c r="C8" s="29"/>
      <c r="D8" s="29"/>
      <c r="E8" s="485">
        <v>122540</v>
      </c>
      <c r="F8" s="29">
        <v>465010</v>
      </c>
      <c r="G8" s="130"/>
      <c r="H8" s="29">
        <v>465010</v>
      </c>
      <c r="I8" s="114">
        <f>H8*1.1</f>
        <v>511511.00000000006</v>
      </c>
      <c r="J8" s="346"/>
      <c r="K8" s="443">
        <v>4760</v>
      </c>
      <c r="L8" s="442">
        <v>1626</v>
      </c>
      <c r="M8" s="669">
        <v>185918</v>
      </c>
      <c r="N8" s="456">
        <f t="shared" si="0"/>
        <v>192304</v>
      </c>
      <c r="O8" s="676">
        <f>I8-N8</f>
        <v>319207.00000000006</v>
      </c>
      <c r="P8" s="676">
        <v>192304</v>
      </c>
      <c r="Q8" s="677">
        <f>M8/I8</f>
        <v>0.36346823430972153</v>
      </c>
      <c r="R8" s="677">
        <f>(I8-P8)/I8</f>
        <v>0.62404718569102136</v>
      </c>
      <c r="S8" s="110"/>
      <c r="T8" s="3"/>
      <c r="U8" s="3"/>
    </row>
    <row r="9" spans="1:24" ht="40.049999999999997" customHeight="1">
      <c r="A9" s="833" t="s">
        <v>150</v>
      </c>
      <c r="B9" s="842"/>
      <c r="C9" s="135"/>
      <c r="D9" s="135"/>
      <c r="E9" s="135">
        <v>60800</v>
      </c>
      <c r="F9" s="135">
        <v>195086</v>
      </c>
      <c r="G9" s="135"/>
      <c r="H9" s="135">
        <v>195086</v>
      </c>
      <c r="I9" s="137">
        <f>H9*1.1</f>
        <v>214594.6</v>
      </c>
      <c r="J9" s="346"/>
      <c r="K9" s="394">
        <v>1100</v>
      </c>
      <c r="L9" s="454">
        <v>281</v>
      </c>
      <c r="M9" s="670">
        <v>29904</v>
      </c>
      <c r="N9" s="659">
        <f t="shared" si="0"/>
        <v>31285</v>
      </c>
      <c r="O9" s="676">
        <f>I9-N9</f>
        <v>183309.6</v>
      </c>
      <c r="P9" s="676">
        <v>39932</v>
      </c>
      <c r="Q9" s="677">
        <f>M9/I9</f>
        <v>0.13935112999115543</v>
      </c>
      <c r="R9" s="677">
        <f>(I9-P9)/I9</f>
        <v>0.81391889637483894</v>
      </c>
      <c r="S9" s="110"/>
      <c r="T9" s="57"/>
      <c r="U9" s="3"/>
    </row>
    <row r="10" spans="1:24" ht="10.8" customHeight="1">
      <c r="A10" s="465"/>
      <c r="B10" s="317"/>
      <c r="C10" s="171"/>
      <c r="D10" s="171"/>
      <c r="E10" s="171"/>
      <c r="F10" s="171"/>
      <c r="G10" s="171"/>
      <c r="H10" s="171"/>
      <c r="I10" s="355"/>
      <c r="J10" s="400"/>
      <c r="K10" s="319"/>
      <c r="L10" s="445"/>
      <c r="M10" s="667"/>
      <c r="N10" s="675"/>
      <c r="O10" s="676"/>
      <c r="P10" s="676"/>
      <c r="Q10" s="677"/>
      <c r="R10" s="677"/>
      <c r="S10" s="110"/>
      <c r="T10" s="58"/>
      <c r="U10" s="3"/>
    </row>
    <row r="11" spans="1:24" s="1" customFormat="1" ht="40.049999999999997" customHeight="1">
      <c r="A11" s="795" t="s">
        <v>151</v>
      </c>
      <c r="B11" s="797" t="s">
        <v>117</v>
      </c>
      <c r="C11" s="163">
        <v>6500</v>
      </c>
      <c r="D11" s="99">
        <f>C11*10</f>
        <v>65000</v>
      </c>
      <c r="E11" s="140">
        <v>37700</v>
      </c>
      <c r="F11" s="140">
        <f>E11*1.5</f>
        <v>56550</v>
      </c>
      <c r="G11" s="99"/>
      <c r="H11" s="99">
        <f>D11+F11</f>
        <v>121550</v>
      </c>
      <c r="I11" s="124">
        <f t="shared" ref="I11" si="1">H11*1.1</f>
        <v>133705</v>
      </c>
      <c r="J11" s="193" t="s">
        <v>277</v>
      </c>
      <c r="K11" s="782"/>
      <c r="L11" s="783"/>
      <c r="M11" s="824">
        <v>108850</v>
      </c>
      <c r="N11" s="786">
        <f>K11+L11+M11</f>
        <v>108850</v>
      </c>
      <c r="O11" s="676"/>
      <c r="P11" s="850">
        <v>108850</v>
      </c>
      <c r="Q11" s="851">
        <f>M11/I11</f>
        <v>0.81410568041584086</v>
      </c>
      <c r="R11" s="851">
        <f>(I11+I12-N11)/(I11+I12)</f>
        <v>0.66128856596082342</v>
      </c>
      <c r="S11" s="110"/>
      <c r="T11" s="58"/>
      <c r="U11" s="3"/>
      <c r="V11" s="50"/>
      <c r="X11" s="55"/>
    </row>
    <row r="12" spans="1:24" s="1" customFormat="1" ht="40.049999999999997" customHeight="1">
      <c r="A12" s="796"/>
      <c r="B12" s="798"/>
      <c r="C12" s="165">
        <v>9050</v>
      </c>
      <c r="D12" s="135">
        <f>C12*10</f>
        <v>90500</v>
      </c>
      <c r="E12" s="10">
        <v>52380</v>
      </c>
      <c r="F12" s="10">
        <v>80100</v>
      </c>
      <c r="G12" s="100"/>
      <c r="H12" s="135">
        <f>D12+F12</f>
        <v>170600</v>
      </c>
      <c r="I12" s="137">
        <f>H12*1.1</f>
        <v>187660.00000000003</v>
      </c>
      <c r="J12" s="33" t="s">
        <v>130</v>
      </c>
      <c r="K12" s="782"/>
      <c r="L12" s="783"/>
      <c r="M12" s="824"/>
      <c r="N12" s="787"/>
      <c r="O12" s="676"/>
      <c r="P12" s="850"/>
      <c r="Q12" s="851"/>
      <c r="R12" s="851"/>
      <c r="S12" s="111"/>
      <c r="T12" s="47"/>
      <c r="U12" s="3"/>
      <c r="V12" s="50"/>
      <c r="X12" s="55"/>
    </row>
    <row r="13" spans="1:24" s="1" customFormat="1" ht="9.6" customHeight="1">
      <c r="A13" s="465"/>
      <c r="B13" s="376"/>
      <c r="C13" s="358"/>
      <c r="D13" s="358"/>
      <c r="E13" s="358"/>
      <c r="F13" s="358"/>
      <c r="G13" s="358"/>
      <c r="H13" s="358"/>
      <c r="I13" s="401"/>
      <c r="J13" s="356"/>
      <c r="K13" s="318"/>
      <c r="L13" s="319"/>
      <c r="M13" s="439"/>
      <c r="N13" s="439"/>
      <c r="O13" s="676"/>
      <c r="P13" s="676"/>
      <c r="Q13" s="677"/>
      <c r="R13" s="677"/>
      <c r="S13" s="111"/>
      <c r="T13" s="47"/>
      <c r="U13" s="3"/>
      <c r="V13" s="50"/>
      <c r="X13" s="55"/>
    </row>
    <row r="14" spans="1:24" s="1" customFormat="1" ht="40.049999999999997" customHeight="1">
      <c r="A14" s="795" t="s">
        <v>154</v>
      </c>
      <c r="B14" s="797" t="s">
        <v>117</v>
      </c>
      <c r="C14" s="163">
        <v>6500</v>
      </c>
      <c r="D14" s="99">
        <f>C14*10</f>
        <v>65000</v>
      </c>
      <c r="E14" s="140">
        <v>15650</v>
      </c>
      <c r="F14" s="140">
        <v>45725</v>
      </c>
      <c r="G14" s="99"/>
      <c r="H14" s="99">
        <f>D14+F14</f>
        <v>110725</v>
      </c>
      <c r="I14" s="124">
        <v>121798</v>
      </c>
      <c r="J14" s="193" t="s">
        <v>275</v>
      </c>
      <c r="K14" s="849">
        <v>500</v>
      </c>
      <c r="L14" s="783"/>
      <c r="M14" s="824">
        <v>116240</v>
      </c>
      <c r="N14" s="786">
        <f t="shared" si="0"/>
        <v>116740</v>
      </c>
      <c r="O14" s="676"/>
      <c r="P14" s="850">
        <v>116740</v>
      </c>
      <c r="Q14" s="851">
        <f>M14/I14</f>
        <v>0.95436706678270578</v>
      </c>
      <c r="R14" s="851">
        <f>(I14+I15-N14)/(I14+I15)</f>
        <v>0.5033840839576128</v>
      </c>
      <c r="S14" s="110"/>
      <c r="T14" s="58"/>
      <c r="U14" s="3"/>
      <c r="V14" s="50"/>
      <c r="X14" s="55"/>
    </row>
    <row r="15" spans="1:24" s="1" customFormat="1" ht="40.049999999999997" customHeight="1">
      <c r="A15" s="796"/>
      <c r="B15" s="798"/>
      <c r="C15" s="165">
        <v>8550</v>
      </c>
      <c r="D15" s="135">
        <f>C15*10</f>
        <v>85500</v>
      </c>
      <c r="E15" s="10">
        <v>11650</v>
      </c>
      <c r="F15" s="10">
        <v>17475</v>
      </c>
      <c r="G15" s="100"/>
      <c r="H15" s="135">
        <f>D15+F15</f>
        <v>102975</v>
      </c>
      <c r="I15" s="137">
        <v>113273</v>
      </c>
      <c r="J15" s="33" t="s">
        <v>130</v>
      </c>
      <c r="K15" s="849"/>
      <c r="L15" s="783"/>
      <c r="M15" s="824"/>
      <c r="N15" s="787"/>
      <c r="O15" s="676"/>
      <c r="P15" s="850"/>
      <c r="Q15" s="851"/>
      <c r="R15" s="851"/>
      <c r="S15" s="111"/>
      <c r="T15" s="47"/>
      <c r="U15" s="3"/>
      <c r="V15" s="50"/>
      <c r="X15" s="55"/>
    </row>
    <row r="16" spans="1:24" s="1" customFormat="1" ht="9.6" customHeight="1">
      <c r="A16" s="465"/>
      <c r="B16" s="376"/>
      <c r="C16" s="358"/>
      <c r="D16" s="358"/>
      <c r="E16" s="358"/>
      <c r="F16" s="358"/>
      <c r="G16" s="358"/>
      <c r="H16" s="358"/>
      <c r="I16" s="401"/>
      <c r="J16" s="400"/>
      <c r="K16" s="319"/>
      <c r="L16" s="319"/>
      <c r="M16" s="439"/>
      <c r="N16" s="439"/>
      <c r="O16" s="676"/>
      <c r="P16" s="676"/>
      <c r="Q16" s="677"/>
      <c r="R16" s="677"/>
      <c r="S16" s="111"/>
      <c r="T16" s="47"/>
      <c r="U16" s="3"/>
      <c r="V16" s="50"/>
      <c r="X16" s="55"/>
    </row>
    <row r="17" spans="1:24" s="1" customFormat="1" ht="40.049999999999997" customHeight="1">
      <c r="A17" s="788" t="s">
        <v>152</v>
      </c>
      <c r="B17" s="402" t="s">
        <v>28</v>
      </c>
      <c r="C17" s="379">
        <f>C4+C5</f>
        <v>133572</v>
      </c>
      <c r="D17" s="379">
        <f t="shared" ref="D17:I17" si="2">D4+D5</f>
        <v>1135363</v>
      </c>
      <c r="E17" s="379">
        <f t="shared" si="2"/>
        <v>657797</v>
      </c>
      <c r="F17" s="379">
        <f t="shared" si="2"/>
        <v>1357617</v>
      </c>
      <c r="G17" s="379">
        <f t="shared" si="2"/>
        <v>15000</v>
      </c>
      <c r="H17" s="379">
        <f t="shared" si="2"/>
        <v>2507980</v>
      </c>
      <c r="I17" s="481">
        <f t="shared" si="2"/>
        <v>2758778</v>
      </c>
      <c r="J17" s="404" t="s">
        <v>131</v>
      </c>
      <c r="K17" s="451">
        <f>SUM(K4:K5)</f>
        <v>21006</v>
      </c>
      <c r="L17" s="452">
        <f>SUM(L4:L5)</f>
        <v>8365</v>
      </c>
      <c r="M17" s="671">
        <f>SUM(M4:M5)</f>
        <v>651266</v>
      </c>
      <c r="N17" s="439">
        <f t="shared" si="0"/>
        <v>680637</v>
      </c>
      <c r="O17" s="676">
        <f>I17-N17</f>
        <v>2078141</v>
      </c>
      <c r="P17" s="676">
        <v>780976</v>
      </c>
      <c r="Q17" s="677">
        <f>M17/I17</f>
        <v>0.23607046308184276</v>
      </c>
      <c r="R17" s="677">
        <f>(I17-P17)/I17</f>
        <v>0.71691234307363627</v>
      </c>
      <c r="S17" s="111"/>
      <c r="T17" s="47"/>
      <c r="U17" s="3"/>
      <c r="V17" s="50"/>
      <c r="X17" s="55"/>
    </row>
    <row r="18" spans="1:24" s="1" customFormat="1" ht="40.049999999999997" customHeight="1">
      <c r="A18" s="789"/>
      <c r="B18" s="840" t="s">
        <v>5</v>
      </c>
      <c r="C18" s="235">
        <f>C7+C8+C9</f>
        <v>0</v>
      </c>
      <c r="D18" s="235">
        <f t="shared" ref="D18:I18" si="3">D7+D8+D9</f>
        <v>0</v>
      </c>
      <c r="E18" s="235">
        <f t="shared" si="3"/>
        <v>315900</v>
      </c>
      <c r="F18" s="235">
        <f t="shared" si="3"/>
        <v>1083745</v>
      </c>
      <c r="G18" s="235">
        <f t="shared" si="3"/>
        <v>0</v>
      </c>
      <c r="H18" s="235">
        <f t="shared" si="3"/>
        <v>1083745</v>
      </c>
      <c r="I18" s="480">
        <f t="shared" si="3"/>
        <v>1192119.5000000002</v>
      </c>
      <c r="J18" s="403" t="s">
        <v>132</v>
      </c>
      <c r="K18" s="476">
        <f>SUM(K7:K9)</f>
        <v>14530</v>
      </c>
      <c r="L18" s="477">
        <f>SUM(L7:L9)</f>
        <v>3616</v>
      </c>
      <c r="M18" s="672">
        <f>SUM(M7:M9)</f>
        <v>389307</v>
      </c>
      <c r="N18" s="662">
        <f>K18+L18+M18</f>
        <v>407453</v>
      </c>
      <c r="O18" s="676">
        <f>I18-N18</f>
        <v>784666.50000000023</v>
      </c>
      <c r="P18" s="684">
        <v>424560</v>
      </c>
      <c r="Q18" s="677">
        <f>M18/I18</f>
        <v>0.32656709331572875</v>
      </c>
      <c r="R18" s="677">
        <f>(I18-P18)/I18</f>
        <v>0.64386120686726467</v>
      </c>
      <c r="S18" s="111"/>
      <c r="T18" s="47"/>
      <c r="U18" s="3"/>
      <c r="V18" s="50"/>
      <c r="X18" s="55"/>
    </row>
    <row r="19" spans="1:24" s="1" customFormat="1" ht="40.049999999999997" customHeight="1" thickBot="1">
      <c r="A19" s="789"/>
      <c r="B19" s="841"/>
      <c r="C19" s="189">
        <f>SUM(C11:C12,C14:C15)</f>
        <v>30600</v>
      </c>
      <c r="D19" s="189">
        <f t="shared" ref="D19:G19" si="4">SUM(D11:D12,D14:D15)</f>
        <v>306000</v>
      </c>
      <c r="E19" s="189">
        <f>SUM(E11:E12,E14:E15)</f>
        <v>117380</v>
      </c>
      <c r="F19" s="189">
        <f>SUM(F11:F12,F14:F15)</f>
        <v>199850</v>
      </c>
      <c r="G19" s="189">
        <f t="shared" si="4"/>
        <v>0</v>
      </c>
      <c r="H19" s="189">
        <f>SUM(H11:H12,H14:H15)</f>
        <v>505850</v>
      </c>
      <c r="I19" s="482">
        <f>SUM(I11:I12,I14:I15)</f>
        <v>556436</v>
      </c>
      <c r="J19" s="405" t="s">
        <v>155</v>
      </c>
      <c r="K19" s="468">
        <v>500</v>
      </c>
      <c r="L19" s="469">
        <v>0</v>
      </c>
      <c r="M19" s="673">
        <f>M11+M14</f>
        <v>225090</v>
      </c>
      <c r="N19" s="665">
        <f t="shared" si="0"/>
        <v>225590</v>
      </c>
      <c r="O19" s="676">
        <f>I19-N19</f>
        <v>330846</v>
      </c>
      <c r="P19" s="685">
        <v>225590</v>
      </c>
      <c r="Q19" s="677">
        <f>M19/I19</f>
        <v>0.40452091525350625</v>
      </c>
      <c r="R19" s="677">
        <f>(I19-P19)/I19</f>
        <v>0.59458050880963853</v>
      </c>
      <c r="S19" s="47"/>
      <c r="T19" s="47"/>
      <c r="U19" s="3"/>
      <c r="V19" s="50"/>
      <c r="X19" s="55"/>
    </row>
    <row r="20" spans="1:24" s="1" customFormat="1" ht="40.049999999999997" customHeight="1" thickTop="1" thickBot="1">
      <c r="A20" s="790"/>
      <c r="B20" s="471" t="s">
        <v>19</v>
      </c>
      <c r="C20" s="440"/>
      <c r="D20" s="440"/>
      <c r="E20" s="440">
        <f t="shared" ref="E20:H20" si="5">SUM(E17:E19)</f>
        <v>1091077</v>
      </c>
      <c r="F20" s="440">
        <f t="shared" si="5"/>
        <v>2641212</v>
      </c>
      <c r="G20" s="440">
        <f>SUM(G17:G19)</f>
        <v>15000</v>
      </c>
      <c r="H20" s="440">
        <f t="shared" si="5"/>
        <v>4097575</v>
      </c>
      <c r="I20" s="441">
        <f>SUM(I17:I19)</f>
        <v>4507333.5</v>
      </c>
      <c r="J20" s="483"/>
      <c r="K20" s="440">
        <f>SUM(K17:K19)</f>
        <v>36036</v>
      </c>
      <c r="L20" s="458">
        <f>SUM(L17:L19)</f>
        <v>11981</v>
      </c>
      <c r="M20" s="674">
        <f>SUM(M17:M19)</f>
        <v>1265663</v>
      </c>
      <c r="N20" s="679">
        <f>K20+L20+M20</f>
        <v>1313680</v>
      </c>
      <c r="O20" s="676">
        <f>I20-N20</f>
        <v>3193653.5</v>
      </c>
      <c r="P20" s="685">
        <f>SUM(P17:P19)</f>
        <v>1431126</v>
      </c>
      <c r="Q20" s="677">
        <f>M20/I20</f>
        <v>0.28080083268744149</v>
      </c>
      <c r="R20" s="677">
        <f>(I20-P20)/I20</f>
        <v>0.68248943638184301</v>
      </c>
      <c r="S20" s="47"/>
      <c r="T20" s="47"/>
      <c r="U20" s="3"/>
      <c r="V20" s="50"/>
      <c r="X20" s="55"/>
    </row>
    <row r="21" spans="1:24" s="1" customFormat="1" ht="53.4" customHeight="1">
      <c r="A21"/>
      <c r="B21" s="40" t="s">
        <v>20</v>
      </c>
      <c r="I21" s="41"/>
      <c r="J21" s="44"/>
      <c r="M21" s="48">
        <v>2300000</v>
      </c>
      <c r="N21" s="143"/>
      <c r="O21" s="687"/>
      <c r="P21" s="685"/>
      <c r="Q21" s="683"/>
      <c r="R21" s="686"/>
      <c r="S21" s="47"/>
      <c r="T21" s="47"/>
      <c r="U21" s="48"/>
      <c r="V21" s="50"/>
      <c r="X21" s="55"/>
    </row>
    <row r="22" spans="1:24">
      <c r="L22" s="48"/>
    </row>
    <row r="23" spans="1:24" ht="30" customHeight="1"/>
    <row r="25" spans="1:24">
      <c r="J25" s="435"/>
    </row>
    <row r="26" spans="1:24">
      <c r="J26" s="435"/>
    </row>
    <row r="28" spans="1:24">
      <c r="M28" s="48" t="s">
        <v>112</v>
      </c>
    </row>
    <row r="43" spans="1:24" s="48" customFormat="1">
      <c r="A43"/>
      <c r="B43" s="42"/>
      <c r="C43" s="1"/>
      <c r="D43" s="1"/>
      <c r="E43" s="1"/>
      <c r="F43" s="1"/>
      <c r="G43" s="1"/>
      <c r="H43" s="1"/>
      <c r="I43" s="36"/>
      <c r="J43" s="44"/>
      <c r="K43" s="1"/>
      <c r="L43" s="48" t="s">
        <v>51</v>
      </c>
      <c r="M43" s="48" t="s">
        <v>113</v>
      </c>
      <c r="N43" s="143"/>
      <c r="O43" s="680"/>
      <c r="P43" s="685"/>
      <c r="Q43" s="683"/>
      <c r="R43" s="686"/>
      <c r="S43" s="47"/>
      <c r="T43" s="47"/>
      <c r="V43" s="50"/>
      <c r="W43" s="1"/>
      <c r="X43" s="53"/>
    </row>
  </sheetData>
  <mergeCells count="40">
    <mergeCell ref="P11:P12"/>
    <mergeCell ref="P14:P15"/>
    <mergeCell ref="R14:R15"/>
    <mergeCell ref="R11:R12"/>
    <mergeCell ref="Q11:Q12"/>
    <mergeCell ref="Q14:Q15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A17:A20"/>
    <mergeCell ref="B18:B19"/>
    <mergeCell ref="T2:T3"/>
    <mergeCell ref="A7:B7"/>
    <mergeCell ref="A8:B8"/>
    <mergeCell ref="A9:B9"/>
    <mergeCell ref="L2:L3"/>
    <mergeCell ref="P2:P3"/>
    <mergeCell ref="R2:R3"/>
    <mergeCell ref="Q2:Q3"/>
    <mergeCell ref="S2:S3"/>
    <mergeCell ref="A14:A15"/>
    <mergeCell ref="B14:B15"/>
    <mergeCell ref="K14:K15"/>
    <mergeCell ref="L14:L15"/>
    <mergeCell ref="O2:O3"/>
    <mergeCell ref="N11:N12"/>
    <mergeCell ref="N14:N15"/>
    <mergeCell ref="M14:M15"/>
    <mergeCell ref="A11:A12"/>
    <mergeCell ref="B11:B12"/>
    <mergeCell ref="K11:K12"/>
    <mergeCell ref="L11:L12"/>
    <mergeCell ref="M11:M12"/>
  </mergeCells>
  <phoneticPr fontId="3"/>
  <conditionalFormatting sqref="C11:C12">
    <cfRule type="expression" dxfId="509" priority="22">
      <formula>COUNTIF(#REF!,"*済*")</formula>
    </cfRule>
    <cfRule type="expression" dxfId="508" priority="23">
      <formula>COUNTIF(#REF!,"*一部*")</formula>
    </cfRule>
    <cfRule type="expression" dxfId="507" priority="24">
      <formula>COUNTIF(#REF!,"*未*")</formula>
    </cfRule>
  </conditionalFormatting>
  <conditionalFormatting sqref="C14:C15">
    <cfRule type="expression" dxfId="506" priority="10">
      <formula>COUNTIF(#REF!,"*済*")</formula>
    </cfRule>
    <cfRule type="expression" dxfId="505" priority="11">
      <formula>COUNTIF(#REF!,"*一部*")</formula>
    </cfRule>
    <cfRule type="expression" dxfId="504" priority="12">
      <formula>COUNTIF(#REF!,"*未*")</formula>
    </cfRule>
  </conditionalFormatting>
  <conditionalFormatting sqref="E9:F9 J9 J14:J15">
    <cfRule type="expression" dxfId="503" priority="99">
      <formula>COUNTIF(#REF!,"*未*")</formula>
    </cfRule>
    <cfRule type="expression" dxfId="502" priority="98">
      <formula>COUNTIF(#REF!,"*一部*")</formula>
    </cfRule>
    <cfRule type="expression" dxfId="501" priority="97">
      <formula>COUNTIF(#REF!,"*済*")</formula>
    </cfRule>
  </conditionalFormatting>
  <conditionalFormatting sqref="E11:F12">
    <cfRule type="expression" dxfId="500" priority="13">
      <formula>COUNTIF(#REF!,"*済*")</formula>
    </cfRule>
    <cfRule type="expression" dxfId="499" priority="14">
      <formula>COUNTIF(#REF!,"*一部*")</formula>
    </cfRule>
    <cfRule type="expression" dxfId="498" priority="15">
      <formula>COUNTIF(#REF!,"*未*")</formula>
    </cfRule>
  </conditionalFormatting>
  <conditionalFormatting sqref="E14:F15">
    <cfRule type="expression" dxfId="497" priority="2">
      <formula>COUNTIF(#REF!,"*一部*")</formula>
    </cfRule>
    <cfRule type="expression" dxfId="496" priority="3">
      <formula>COUNTIF(#REF!,"*未*")</formula>
    </cfRule>
    <cfRule type="expression" dxfId="495" priority="1">
      <formula>COUNTIF(#REF!,"*済*")</formula>
    </cfRule>
  </conditionalFormatting>
  <conditionalFormatting sqref="E7:G8 J7:K8">
    <cfRule type="expression" dxfId="494" priority="102">
      <formula>COUNTIF(#REF!,"*未*")</formula>
    </cfRule>
    <cfRule type="expression" dxfId="493" priority="101">
      <formula>COUNTIF(#REF!,"*一部*")</formula>
    </cfRule>
    <cfRule type="expression" dxfId="492" priority="100">
      <formula>COUNTIF(#REF!,"*済*")</formula>
    </cfRule>
  </conditionalFormatting>
  <conditionalFormatting sqref="E7:H8">
    <cfRule type="expression" dxfId="491" priority="96">
      <formula>COUNTIF(#REF!,"*未*")</formula>
    </cfRule>
    <cfRule type="expression" dxfId="490" priority="95">
      <formula>COUNTIF(#REF!,"*一部*")</formula>
    </cfRule>
    <cfRule type="expression" dxfId="489" priority="94">
      <formula>COUNTIF(#REF!,"*済*")</formula>
    </cfRule>
  </conditionalFormatting>
  <conditionalFormatting sqref="F9">
    <cfRule type="expression" dxfId="488" priority="105">
      <formula>COUNTIF(#REF!,"*未*")</formula>
    </cfRule>
    <cfRule type="expression" dxfId="487" priority="103">
      <formula>COUNTIF(#REF!,"*済*")</formula>
    </cfRule>
    <cfRule type="expression" dxfId="486" priority="104">
      <formula>COUNTIF(#REF!,"*一部*")</formula>
    </cfRule>
    <cfRule type="expression" dxfId="485" priority="106">
      <formula>COUNTIF(#REF!,"*済*")</formula>
    </cfRule>
    <cfRule type="expression" dxfId="484" priority="107">
      <formula>COUNTIF(#REF!,"*一部*")</formula>
    </cfRule>
    <cfRule type="expression" dxfId="483" priority="108">
      <formula>COUNTIF(#REF!,"*未*")</formula>
    </cfRule>
  </conditionalFormatting>
  <conditionalFormatting sqref="F11:F12">
    <cfRule type="expression" dxfId="482" priority="21">
      <formula>COUNTIF(#REF!,"*未*")</formula>
    </cfRule>
    <cfRule type="expression" dxfId="481" priority="20">
      <formula>COUNTIF(#REF!,"*一部*")</formula>
    </cfRule>
    <cfRule type="expression" dxfId="480" priority="19">
      <formula>COUNTIF(#REF!,"*済*")</formula>
    </cfRule>
    <cfRule type="expression" dxfId="479" priority="18">
      <formula>COUNTIF(#REF!,"*未*")</formula>
    </cfRule>
    <cfRule type="expression" dxfId="478" priority="17">
      <formula>COUNTIF(#REF!,"*一部*")</formula>
    </cfRule>
    <cfRule type="expression" dxfId="477" priority="16">
      <formula>COUNTIF(#REF!,"*済*")</formula>
    </cfRule>
  </conditionalFormatting>
  <conditionalFormatting sqref="F14:F15">
    <cfRule type="expression" dxfId="476" priority="4">
      <formula>COUNTIF(#REF!,"*済*")</formula>
    </cfRule>
    <cfRule type="expression" dxfId="475" priority="5">
      <formula>COUNTIF(#REF!,"*一部*")</formula>
    </cfRule>
    <cfRule type="expression" dxfId="474" priority="6">
      <formula>COUNTIF(#REF!,"*未*")</formula>
    </cfRule>
    <cfRule type="expression" dxfId="473" priority="8">
      <formula>COUNTIF(#REF!,"*一部*")</formula>
    </cfRule>
    <cfRule type="expression" dxfId="472" priority="9">
      <formula>COUNTIF(#REF!,"*未*")</formula>
    </cfRule>
    <cfRule type="expression" dxfId="471" priority="7">
      <formula>COUNTIF(#REF!,"*済*")</formula>
    </cfRule>
  </conditionalFormatting>
  <conditionalFormatting sqref="H7:H9">
    <cfRule type="expression" dxfId="470" priority="73">
      <formula>COUNTIF(#REF!,"*済*")</formula>
    </cfRule>
    <cfRule type="expression" dxfId="469" priority="74">
      <formula>COUNTIF(#REF!,"*一部*")</formula>
    </cfRule>
    <cfRule type="expression" dxfId="468" priority="75">
      <formula>COUNTIF(#REF!,"*未*")</formula>
    </cfRule>
  </conditionalFormatting>
  <conditionalFormatting sqref="H9">
    <cfRule type="expression" dxfId="467" priority="76">
      <formula>COUNTIF(#REF!,"*済*")</formula>
    </cfRule>
    <cfRule type="expression" dxfId="466" priority="77">
      <formula>COUNTIF(#REF!,"*一部*")</formula>
    </cfRule>
    <cfRule type="expression" dxfId="465" priority="78">
      <formula>COUNTIF(#REF!,"*未*")</formula>
    </cfRule>
    <cfRule type="expression" dxfId="464" priority="71">
      <formula>COUNTIF(#REF!,"*一部*")</formula>
    </cfRule>
    <cfRule type="expression" dxfId="463" priority="72">
      <formula>COUNTIF(#REF!,"*未*")</formula>
    </cfRule>
    <cfRule type="expression" dxfId="462" priority="70">
      <formula>COUNTIF(#REF!,"*済*")</formula>
    </cfRule>
  </conditionalFormatting>
  <conditionalFormatting sqref="J11:J12">
    <cfRule type="expression" dxfId="461" priority="27">
      <formula>COUNTIF(#REF!,"*未*")</formula>
    </cfRule>
    <cfRule type="expression" dxfId="460" priority="26">
      <formula>COUNTIF(#REF!,"*一部*")</formula>
    </cfRule>
    <cfRule type="expression" dxfId="459" priority="25">
      <formula>COUNTIF(#REF!,"*済*")</formula>
    </cfRule>
  </conditionalFormatting>
  <conditionalFormatting sqref="J7:K8">
    <cfRule type="expression" dxfId="458" priority="109">
      <formula>COUNTIF(#REF!,"*済*")</formula>
    </cfRule>
    <cfRule type="expression" dxfId="457" priority="110">
      <formula>COUNTIF(#REF!,"*一部*")</formula>
    </cfRule>
    <cfRule type="expression" dxfId="456" priority="111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27A9-42F1-4C2C-8E26-2A1582A71080}">
  <sheetPr codeName="Sheet1">
    <pageSetUpPr fitToPage="1"/>
  </sheetPr>
  <dimension ref="A1:X27"/>
  <sheetViews>
    <sheetView topLeftCell="A3" zoomScale="88" zoomScaleNormal="88" workbookViewId="0">
      <selection activeCell="A15" sqref="A15:A16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2.55468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39.88671875" style="44" customWidth="1"/>
    <col min="11" max="12" width="10.77734375" style="1" customWidth="1"/>
    <col min="13" max="14" width="13.44140625" style="48" customWidth="1"/>
    <col min="15" max="15" width="8.77734375" style="48" bestFit="1" customWidth="1"/>
    <col min="16" max="16" width="8.77734375" style="48" customWidth="1"/>
    <col min="17" max="17" width="13.44140625" style="48" customWidth="1"/>
    <col min="18" max="19" width="9.6640625" style="47" customWidth="1"/>
    <col min="20" max="20" width="13" style="47" customWidth="1"/>
    <col min="21" max="21" width="11.33203125" style="48" customWidth="1"/>
    <col min="22" max="22" width="9.109375" style="50" bestFit="1" customWidth="1"/>
    <col min="23" max="23" width="8.88671875" style="1"/>
    <col min="24" max="24" width="13.33203125" style="53" bestFit="1" customWidth="1"/>
  </cols>
  <sheetData>
    <row r="1" spans="1:24" ht="32.25" customHeight="1">
      <c r="A1" s="872" t="s">
        <v>139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369"/>
      <c r="O1" s="369"/>
      <c r="P1" s="369"/>
    </row>
    <row r="2" spans="1:24" ht="40.049999999999997" customHeight="1">
      <c r="A2" s="873" t="s">
        <v>1</v>
      </c>
      <c r="B2" s="875" t="s">
        <v>2</v>
      </c>
      <c r="C2" s="876" t="s">
        <v>3</v>
      </c>
      <c r="D2" s="877"/>
      <c r="E2" s="877" t="s">
        <v>65</v>
      </c>
      <c r="F2" s="878"/>
      <c r="G2" s="879" t="s">
        <v>5</v>
      </c>
      <c r="H2" s="880" t="s">
        <v>31</v>
      </c>
      <c r="I2" s="881" t="s">
        <v>6</v>
      </c>
      <c r="J2" s="882" t="s">
        <v>7</v>
      </c>
      <c r="K2" s="883" t="s">
        <v>8</v>
      </c>
      <c r="L2" s="859" t="s">
        <v>9</v>
      </c>
      <c r="M2" s="479" t="s">
        <v>52</v>
      </c>
      <c r="N2" s="218" t="s">
        <v>156</v>
      </c>
      <c r="O2" s="861" t="s">
        <v>121</v>
      </c>
      <c r="P2" s="861" t="s">
        <v>122</v>
      </c>
      <c r="Q2" s="863" t="s">
        <v>51</v>
      </c>
      <c r="R2" s="799" t="s">
        <v>50</v>
      </c>
      <c r="S2" s="799" t="s">
        <v>64</v>
      </c>
      <c r="T2" s="799" t="s">
        <v>35</v>
      </c>
      <c r="U2" s="48" t="s">
        <v>36</v>
      </c>
      <c r="V2" s="50" t="s">
        <v>37</v>
      </c>
      <c r="W2" s="52" t="s">
        <v>38</v>
      </c>
    </row>
    <row r="3" spans="1:24" s="7" customFormat="1" ht="40.049999999999997" customHeight="1" thickBot="1">
      <c r="A3" s="874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84"/>
      <c r="L3" s="860"/>
      <c r="M3" s="472" t="s">
        <v>53</v>
      </c>
      <c r="N3" s="219" t="s">
        <v>53</v>
      </c>
      <c r="O3" s="862"/>
      <c r="P3" s="861"/>
      <c r="Q3" s="863"/>
      <c r="R3" s="799"/>
      <c r="S3" s="799"/>
      <c r="T3" s="799"/>
      <c r="U3" s="49"/>
      <c r="V3" s="51"/>
      <c r="W3" s="6"/>
      <c r="X3" s="54"/>
    </row>
    <row r="4" spans="1:24" ht="40.049999999999997" customHeight="1" thickTop="1">
      <c r="A4" s="199">
        <v>46073</v>
      </c>
      <c r="B4" s="200" t="s">
        <v>13</v>
      </c>
      <c r="C4" s="420">
        <v>57735</v>
      </c>
      <c r="D4" s="423">
        <f>C4*8.5</f>
        <v>490747.5</v>
      </c>
      <c r="E4" s="423">
        <v>148639</v>
      </c>
      <c r="F4" s="426">
        <v>286520</v>
      </c>
      <c r="G4" s="423">
        <v>10000</v>
      </c>
      <c r="H4" s="423">
        <f>D4+F4+G4</f>
        <v>787267.5</v>
      </c>
      <c r="I4" s="427">
        <f>H4*1.1</f>
        <v>865994.25000000012</v>
      </c>
      <c r="J4" s="498" t="s">
        <v>145</v>
      </c>
      <c r="K4" s="459">
        <v>10020</v>
      </c>
      <c r="L4" s="460">
        <v>3032</v>
      </c>
      <c r="M4" s="493">
        <v>279802</v>
      </c>
      <c r="N4" s="492">
        <f>K4+L4+M4</f>
        <v>292854</v>
      </c>
      <c r="O4" s="371">
        <f>F4/E4</f>
        <v>1.9276233020943359</v>
      </c>
      <c r="P4" s="370">
        <f>(H4-G4)/C4</f>
        <v>13.462674287693773</v>
      </c>
      <c r="Q4" s="96">
        <f>M4+L4+K4</f>
        <v>292854</v>
      </c>
      <c r="R4" s="111">
        <f>(H4-Q4)/H4</f>
        <v>0.62801207975688056</v>
      </c>
      <c r="S4" s="110"/>
      <c r="T4" s="3">
        <f>SUM(K4:M4)</f>
        <v>292854</v>
      </c>
      <c r="U4" s="3">
        <f t="shared" ref="U4:U9" si="0">H4-M4</f>
        <v>507465.5</v>
      </c>
      <c r="X4" s="53">
        <f t="shared" ref="X4:X5" si="1">(K4+L4+M4)/I4</f>
        <v>0.33817083658465397</v>
      </c>
    </row>
    <row r="5" spans="1:24" ht="40.049999999999997" customHeight="1">
      <c r="A5" s="422">
        <v>46080</v>
      </c>
      <c r="B5" s="421" t="s">
        <v>14</v>
      </c>
      <c r="C5" s="165">
        <v>73106</v>
      </c>
      <c r="D5" s="139">
        <f>C5*8.5</f>
        <v>621401</v>
      </c>
      <c r="E5" s="424">
        <v>657220</v>
      </c>
      <c r="F5" s="118">
        <v>1319644</v>
      </c>
      <c r="G5" s="139">
        <v>5000</v>
      </c>
      <c r="H5" s="139">
        <f>D5+F5+G5</f>
        <v>1946045</v>
      </c>
      <c r="I5" s="141">
        <f>H5*1.1</f>
        <v>2140649.5</v>
      </c>
      <c r="J5" s="499" t="s">
        <v>144</v>
      </c>
      <c r="K5" s="462">
        <v>8650</v>
      </c>
      <c r="L5" s="463">
        <v>4685</v>
      </c>
      <c r="M5" s="494">
        <v>342296</v>
      </c>
      <c r="N5" s="431">
        <f t="shared" ref="N5:N21" si="2">K5+L5+M5</f>
        <v>355631</v>
      </c>
      <c r="O5" s="371"/>
      <c r="P5" s="370"/>
      <c r="Q5" s="96">
        <f>M5+L5+K5</f>
        <v>355631</v>
      </c>
      <c r="R5" s="111">
        <f>(H5-Q5)/H5</f>
        <v>0.81725448281000701</v>
      </c>
      <c r="S5" s="110"/>
      <c r="T5" s="3">
        <f>SUM(K5:M5)</f>
        <v>355631</v>
      </c>
      <c r="U5" s="3">
        <f t="shared" si="0"/>
        <v>1603749</v>
      </c>
      <c r="W5" s="1">
        <v>391088</v>
      </c>
      <c r="X5" s="53">
        <f t="shared" si="1"/>
        <v>0.16613228835453914</v>
      </c>
    </row>
    <row r="6" spans="1:24" ht="8.4" customHeight="1">
      <c r="A6" s="201"/>
      <c r="B6" s="317"/>
      <c r="C6" s="171"/>
      <c r="D6" s="171"/>
      <c r="E6" s="171"/>
      <c r="F6" s="171"/>
      <c r="G6" s="171"/>
      <c r="H6" s="171"/>
      <c r="I6" s="355"/>
      <c r="J6" s="400"/>
      <c r="K6" s="432"/>
      <c r="L6" s="319"/>
      <c r="M6" s="410"/>
      <c r="N6" s="320"/>
      <c r="O6" s="371"/>
      <c r="P6" s="371"/>
      <c r="Q6" s="96"/>
      <c r="R6" s="111"/>
      <c r="S6" s="110"/>
      <c r="T6" s="3"/>
      <c r="U6" s="3">
        <f t="shared" si="0"/>
        <v>0</v>
      </c>
    </row>
    <row r="7" spans="1:24" ht="40.049999999999997" customHeight="1">
      <c r="A7" s="855" t="s">
        <v>116</v>
      </c>
      <c r="B7" s="856"/>
      <c r="C7" s="185"/>
      <c r="D7" s="99"/>
      <c r="E7" s="117">
        <v>13000</v>
      </c>
      <c r="F7" s="99">
        <v>52000</v>
      </c>
      <c r="G7" s="122"/>
      <c r="H7" s="121">
        <v>52000</v>
      </c>
      <c r="I7" s="124">
        <f>H7*1.1</f>
        <v>57200.000000000007</v>
      </c>
      <c r="J7" s="500" t="s">
        <v>134</v>
      </c>
      <c r="K7" s="449"/>
      <c r="L7" s="447"/>
      <c r="M7" s="448">
        <v>42900</v>
      </c>
      <c r="N7" s="429">
        <f t="shared" si="2"/>
        <v>42900</v>
      </c>
      <c r="O7" s="371">
        <f t="shared" ref="O7:O13" si="3">F7/E7</f>
        <v>4</v>
      </c>
      <c r="P7" s="371">
        <f>F7/43255</f>
        <v>1.2021731591723501</v>
      </c>
      <c r="Q7" s="96">
        <f>M7+L7+K7</f>
        <v>42900</v>
      </c>
      <c r="R7" s="111">
        <f>(H7-Q7)/H7</f>
        <v>0.17499999999999999</v>
      </c>
      <c r="S7" s="110"/>
      <c r="T7" s="3">
        <f>SUM(K7:M7)</f>
        <v>42900</v>
      </c>
      <c r="U7" s="3">
        <f t="shared" si="0"/>
        <v>9100</v>
      </c>
      <c r="X7" s="53">
        <f>(K7+L7+M7)/I7</f>
        <v>0.74999999999999989</v>
      </c>
    </row>
    <row r="8" spans="1:24" ht="8.4" customHeight="1">
      <c r="A8" s="201"/>
      <c r="B8" s="317"/>
      <c r="C8" s="171"/>
      <c r="D8" s="171"/>
      <c r="E8" s="171"/>
      <c r="F8" s="171"/>
      <c r="G8" s="171"/>
      <c r="H8" s="171"/>
      <c r="I8" s="355"/>
      <c r="J8" s="400"/>
      <c r="K8" s="432"/>
      <c r="L8" s="445"/>
      <c r="M8" s="501"/>
      <c r="N8" s="320"/>
      <c r="O8" s="371"/>
      <c r="P8" s="371"/>
      <c r="Q8" s="96"/>
      <c r="R8" s="111"/>
      <c r="S8" s="110"/>
      <c r="T8" s="3"/>
      <c r="U8" s="3">
        <f t="shared" ref="U8" si="4">H8-M8</f>
        <v>0</v>
      </c>
    </row>
    <row r="9" spans="1:24" ht="80.25" customHeight="1">
      <c r="A9" s="870" t="s">
        <v>141</v>
      </c>
      <c r="B9" s="871"/>
      <c r="C9" s="185">
        <v>23686</v>
      </c>
      <c r="D9" s="99">
        <v>940670</v>
      </c>
      <c r="E9" s="406">
        <v>31500</v>
      </c>
      <c r="F9" s="99">
        <v>220500</v>
      </c>
      <c r="G9" s="18"/>
      <c r="H9" s="99">
        <f>SUM(D9,F9)</f>
        <v>1161170</v>
      </c>
      <c r="I9" s="124">
        <f>H9*1.1</f>
        <v>1277287</v>
      </c>
      <c r="J9" s="497" t="s">
        <v>158</v>
      </c>
      <c r="K9" s="449">
        <v>3210</v>
      </c>
      <c r="L9" s="447">
        <v>1939</v>
      </c>
      <c r="M9" s="450">
        <v>172830</v>
      </c>
      <c r="N9" s="429">
        <f t="shared" si="2"/>
        <v>177979</v>
      </c>
      <c r="O9" s="371"/>
      <c r="P9" s="371"/>
      <c r="Q9" s="96">
        <f>M9+L9+K9</f>
        <v>177979</v>
      </c>
      <c r="R9" s="111">
        <f>(H9-Q9)/H9</f>
        <v>0.84672442450287211</v>
      </c>
      <c r="S9" s="110"/>
      <c r="T9" s="3"/>
      <c r="U9" s="3">
        <f t="shared" si="0"/>
        <v>988340</v>
      </c>
    </row>
    <row r="10" spans="1:24" ht="8.4" customHeight="1">
      <c r="A10" s="201"/>
      <c r="B10" s="317"/>
      <c r="C10" s="171"/>
      <c r="D10" s="171"/>
      <c r="E10" s="171"/>
      <c r="F10" s="171"/>
      <c r="G10" s="171"/>
      <c r="H10" s="171"/>
      <c r="I10" s="355"/>
      <c r="J10" s="400"/>
      <c r="K10" s="319"/>
      <c r="L10" s="319"/>
      <c r="M10" s="145"/>
      <c r="N10" s="320"/>
      <c r="O10" s="371"/>
      <c r="P10" s="371"/>
      <c r="Q10" s="96"/>
      <c r="R10" s="111"/>
      <c r="S10" s="110"/>
      <c r="T10" s="3"/>
      <c r="U10" s="3">
        <f t="shared" ref="U10" si="5">H10-M10</f>
        <v>0</v>
      </c>
    </row>
    <row r="11" spans="1:24" ht="40.049999999999997" customHeight="1">
      <c r="A11" s="857" t="s">
        <v>135</v>
      </c>
      <c r="B11" s="857"/>
      <c r="C11" s="391"/>
      <c r="D11" s="99"/>
      <c r="E11" s="392">
        <v>29980</v>
      </c>
      <c r="F11" s="121">
        <v>85443</v>
      </c>
      <c r="G11" s="122"/>
      <c r="H11" s="121">
        <v>85443</v>
      </c>
      <c r="I11" s="124">
        <f>H11*1.1</f>
        <v>93987.3</v>
      </c>
      <c r="J11" s="345"/>
      <c r="K11" s="466"/>
      <c r="L11" s="453"/>
      <c r="M11" s="457">
        <v>44970</v>
      </c>
      <c r="N11" s="433">
        <f t="shared" si="2"/>
        <v>44970</v>
      </c>
      <c r="O11" s="371">
        <f t="shared" si="3"/>
        <v>2.85</v>
      </c>
      <c r="P11" s="371">
        <f>F11/62610</f>
        <v>1.3646861523718257</v>
      </c>
      <c r="Q11" s="96">
        <f>M11+L11+K11</f>
        <v>44970</v>
      </c>
      <c r="R11" s="111">
        <f>(H11-Q11)/H11</f>
        <v>0.47368421052631576</v>
      </c>
      <c r="S11" s="110"/>
      <c r="T11" s="3">
        <f>SUM(K11:M11)</f>
        <v>44970</v>
      </c>
      <c r="U11" s="3">
        <f>H11-M11</f>
        <v>40473</v>
      </c>
      <c r="X11" s="53">
        <f>(K11+L11+M11)/I11</f>
        <v>0.4784688995215311</v>
      </c>
    </row>
    <row r="12" spans="1:24" ht="40.049999999999997" customHeight="1">
      <c r="A12" s="858" t="s">
        <v>136</v>
      </c>
      <c r="B12" s="858"/>
      <c r="C12" s="393"/>
      <c r="D12" s="29"/>
      <c r="E12" s="128">
        <v>101040</v>
      </c>
      <c r="F12" s="129">
        <v>376025</v>
      </c>
      <c r="G12" s="130"/>
      <c r="H12" s="129">
        <v>376025</v>
      </c>
      <c r="I12" s="114">
        <f>H12*1.1</f>
        <v>413627.50000000006</v>
      </c>
      <c r="J12" s="346"/>
      <c r="K12" s="443">
        <v>2500</v>
      </c>
      <c r="L12" s="442">
        <v>886</v>
      </c>
      <c r="M12" s="444">
        <v>133885</v>
      </c>
      <c r="N12" s="430">
        <f t="shared" si="2"/>
        <v>137271</v>
      </c>
      <c r="O12" s="371">
        <f t="shared" si="3"/>
        <v>3.7215459224069676</v>
      </c>
      <c r="P12" s="371">
        <f>F12/30310</f>
        <v>12.405971626525899</v>
      </c>
      <c r="Q12" s="96"/>
      <c r="R12" s="111"/>
      <c r="S12" s="110"/>
      <c r="T12" s="3"/>
      <c r="U12" s="3">
        <f t="shared" ref="U12:U21" si="6">H12-M12</f>
        <v>242140</v>
      </c>
      <c r="X12" s="53">
        <f t="shared" ref="X12" si="7">(K12+L12+M12)/I12</f>
        <v>0.33187106756683243</v>
      </c>
    </row>
    <row r="13" spans="1:24" ht="40.049999999999997" customHeight="1">
      <c r="A13" s="858" t="s">
        <v>137</v>
      </c>
      <c r="B13" s="858"/>
      <c r="C13" s="394"/>
      <c r="D13" s="135"/>
      <c r="E13" s="316">
        <v>59240</v>
      </c>
      <c r="F13" s="316">
        <v>190631</v>
      </c>
      <c r="G13" s="135"/>
      <c r="H13" s="316">
        <v>190631</v>
      </c>
      <c r="I13" s="137">
        <f>H13*1.1</f>
        <v>209694.1</v>
      </c>
      <c r="J13" s="346"/>
      <c r="K13" s="394">
        <v>1400</v>
      </c>
      <c r="L13" s="454">
        <v>311</v>
      </c>
      <c r="M13" s="467">
        <v>12810</v>
      </c>
      <c r="N13" s="431">
        <f t="shared" si="2"/>
        <v>14521</v>
      </c>
      <c r="O13" s="371">
        <f t="shared" si="3"/>
        <v>3.2179439567859554</v>
      </c>
      <c r="P13" s="371">
        <f>H13/40050</f>
        <v>4.7598252184769034</v>
      </c>
      <c r="Q13" s="96">
        <f>M13+L13+K13</f>
        <v>14521</v>
      </c>
      <c r="R13" s="111">
        <f>(H13-Q13)/H13</f>
        <v>0.92382665988218071</v>
      </c>
      <c r="S13" s="110"/>
      <c r="T13" s="57"/>
      <c r="U13" s="3">
        <f t="shared" si="6"/>
        <v>177821</v>
      </c>
      <c r="X13" s="53" t="e">
        <f>(#REF!+L13+M13)/I13</f>
        <v>#REF!</v>
      </c>
    </row>
    <row r="14" spans="1:24" ht="10.8" customHeight="1">
      <c r="A14" s="201"/>
      <c r="B14" s="317"/>
      <c r="C14" s="171"/>
      <c r="D14" s="171"/>
      <c r="E14" s="171"/>
      <c r="F14" s="171"/>
      <c r="G14" s="171"/>
      <c r="H14" s="171"/>
      <c r="I14" s="355"/>
      <c r="J14" s="400"/>
      <c r="K14" s="319"/>
      <c r="L14" s="432"/>
      <c r="M14" s="410"/>
      <c r="N14" s="320"/>
      <c r="O14" s="371"/>
      <c r="P14" s="371"/>
      <c r="Q14" s="96">
        <f t="shared" ref="Q14:Q18" si="8">M14+L14+K14</f>
        <v>0</v>
      </c>
      <c r="R14" s="111" t="e">
        <f>(H14-Q14)/H14</f>
        <v>#DIV/0!</v>
      </c>
      <c r="S14" s="110"/>
      <c r="T14" s="58" t="e">
        <f>SUM(#REF!)</f>
        <v>#REF!</v>
      </c>
      <c r="U14" s="3">
        <f t="shared" si="6"/>
        <v>0</v>
      </c>
    </row>
    <row r="15" spans="1:24" s="1" customFormat="1" ht="40.049999999999997" customHeight="1">
      <c r="A15" s="864" t="s">
        <v>142</v>
      </c>
      <c r="B15" s="797" t="s">
        <v>117</v>
      </c>
      <c r="C15" s="473">
        <v>5900</v>
      </c>
      <c r="D15" s="99">
        <v>59000</v>
      </c>
      <c r="E15" s="221">
        <v>38000</v>
      </c>
      <c r="F15" s="221">
        <f>E15*1.5</f>
        <v>57000</v>
      </c>
      <c r="G15" s="99"/>
      <c r="H15" s="99">
        <f>D15+F15</f>
        <v>116000</v>
      </c>
      <c r="I15" s="124">
        <f t="shared" ref="I15" si="9">H15*1.1</f>
        <v>127600.00000000001</v>
      </c>
      <c r="J15" s="193" t="s">
        <v>143</v>
      </c>
      <c r="K15" s="868"/>
      <c r="L15" s="885"/>
      <c r="M15" s="887">
        <v>105600</v>
      </c>
      <c r="N15" s="866">
        <f t="shared" si="2"/>
        <v>105600</v>
      </c>
      <c r="O15" s="371">
        <f>F15/E15</f>
        <v>1.5</v>
      </c>
      <c r="P15" s="370">
        <f t="shared" ref="P15:P16" si="10">(H15-G15)/C15</f>
        <v>19.661016949152543</v>
      </c>
      <c r="Q15" s="96">
        <f t="shared" si="8"/>
        <v>105600</v>
      </c>
      <c r="R15" s="111"/>
      <c r="S15" s="110"/>
      <c r="T15" s="58"/>
      <c r="U15" s="3">
        <f t="shared" si="6"/>
        <v>10400</v>
      </c>
      <c r="V15" s="50"/>
      <c r="X15" s="55"/>
    </row>
    <row r="16" spans="1:24" s="1" customFormat="1" ht="40.049999999999997" customHeight="1">
      <c r="A16" s="865"/>
      <c r="B16" s="798"/>
      <c r="C16" s="474">
        <v>8100</v>
      </c>
      <c r="D16" s="135">
        <v>81000</v>
      </c>
      <c r="E16" s="475">
        <v>73150</v>
      </c>
      <c r="F16" s="475">
        <v>114475</v>
      </c>
      <c r="G16" s="100"/>
      <c r="H16" s="135">
        <f>D16+F16</f>
        <v>195475</v>
      </c>
      <c r="I16" s="137">
        <f>H16*1.1</f>
        <v>215022.50000000003</v>
      </c>
      <c r="J16" s="33" t="s">
        <v>130</v>
      </c>
      <c r="K16" s="869"/>
      <c r="L16" s="886"/>
      <c r="M16" s="888"/>
      <c r="N16" s="867"/>
      <c r="O16" s="371">
        <f>F16/E16</f>
        <v>1.5649350649350648</v>
      </c>
      <c r="P16" s="370">
        <f t="shared" si="10"/>
        <v>24.132716049382715</v>
      </c>
      <c r="Q16" s="96">
        <f t="shared" si="8"/>
        <v>0</v>
      </c>
      <c r="R16" s="111">
        <f>(H16-Q16)/H16</f>
        <v>1</v>
      </c>
      <c r="S16" s="111">
        <f>Q16/H16</f>
        <v>0</v>
      </c>
      <c r="T16" s="47"/>
      <c r="U16" s="3">
        <f t="shared" si="6"/>
        <v>195475</v>
      </c>
      <c r="V16" s="50"/>
      <c r="X16" s="55">
        <f>T16/(I15+I16)</f>
        <v>0</v>
      </c>
    </row>
    <row r="17" spans="1:24" s="1" customFormat="1" ht="9.6" customHeight="1">
      <c r="A17" s="201"/>
      <c r="B17" s="376"/>
      <c r="C17" s="358"/>
      <c r="D17" s="358"/>
      <c r="E17" s="358"/>
      <c r="F17" s="358"/>
      <c r="G17" s="358"/>
      <c r="H17" s="358"/>
      <c r="I17" s="401"/>
      <c r="J17" s="356"/>
      <c r="K17" s="434"/>
      <c r="L17" s="319"/>
      <c r="M17" s="145"/>
      <c r="N17" s="320"/>
      <c r="O17" s="371"/>
      <c r="P17" s="371"/>
      <c r="Q17" s="96">
        <f t="shared" si="8"/>
        <v>0</v>
      </c>
      <c r="R17" s="111" t="e">
        <f>(H17-Q17)/H17</f>
        <v>#DIV/0!</v>
      </c>
      <c r="S17" s="111" t="e">
        <f>Q17/H17</f>
        <v>#DIV/0!</v>
      </c>
      <c r="T17" s="47"/>
      <c r="U17" s="3">
        <f t="shared" si="6"/>
        <v>0</v>
      </c>
      <c r="V17" s="50"/>
      <c r="X17" s="55"/>
    </row>
    <row r="18" spans="1:24" s="1" customFormat="1" ht="40.049999999999997" customHeight="1">
      <c r="A18" s="852" t="s">
        <v>138</v>
      </c>
      <c r="B18" s="402" t="s">
        <v>28</v>
      </c>
      <c r="C18" s="379"/>
      <c r="D18" s="379"/>
      <c r="E18" s="379">
        <v>850359</v>
      </c>
      <c r="F18" s="379">
        <v>1878664</v>
      </c>
      <c r="G18" s="379"/>
      <c r="H18" s="379">
        <f>SUM(H4:H9)</f>
        <v>3946482.5</v>
      </c>
      <c r="I18" s="396">
        <f>SUM(I4:I9)</f>
        <v>4341130.75</v>
      </c>
      <c r="J18" s="404" t="s">
        <v>131</v>
      </c>
      <c r="K18" s="451">
        <f>SUM(K4:K9)</f>
        <v>21880</v>
      </c>
      <c r="L18" s="452">
        <f>SUM(L4:L9)</f>
        <v>9656</v>
      </c>
      <c r="M18" s="486">
        <f>SUM(M4:M5,M7,M9)</f>
        <v>837828</v>
      </c>
      <c r="N18" s="429">
        <f t="shared" si="2"/>
        <v>869364</v>
      </c>
      <c r="O18" s="371"/>
      <c r="P18" s="371"/>
      <c r="Q18" s="96">
        <f t="shared" si="8"/>
        <v>869364</v>
      </c>
      <c r="R18" s="111">
        <f>(H18-Q18)/H18</f>
        <v>0.77971167995803858</v>
      </c>
      <c r="S18" s="111">
        <f>Q18/H18</f>
        <v>0.22028832004196142</v>
      </c>
      <c r="T18" s="47"/>
      <c r="U18" s="3">
        <f t="shared" si="6"/>
        <v>3108654.5</v>
      </c>
      <c r="V18" s="50"/>
      <c r="X18" s="55"/>
    </row>
    <row r="19" spans="1:24" s="1" customFormat="1" ht="40.049999999999997" customHeight="1">
      <c r="A19" s="853"/>
      <c r="B19" s="840" t="s">
        <v>5</v>
      </c>
      <c r="C19" s="235"/>
      <c r="D19" s="235"/>
      <c r="E19" s="235">
        <f>SUM(E11:E13)</f>
        <v>190260</v>
      </c>
      <c r="F19" s="87">
        <f>SUM(F11:F13)</f>
        <v>652099</v>
      </c>
      <c r="G19" s="235"/>
      <c r="H19" s="235">
        <f>SUM(H11:H13)</f>
        <v>652099</v>
      </c>
      <c r="I19" s="397">
        <f>SUM(I11:I13)</f>
        <v>717308.9</v>
      </c>
      <c r="J19" s="403" t="s">
        <v>132</v>
      </c>
      <c r="K19" s="476">
        <f>SUM(K11:K13)</f>
        <v>3900</v>
      </c>
      <c r="L19" s="477">
        <f t="shared" ref="L19:M19" si="11">SUM(L11:L13)</f>
        <v>1197</v>
      </c>
      <c r="M19" s="478">
        <f t="shared" si="11"/>
        <v>191665</v>
      </c>
      <c r="N19" s="433">
        <f t="shared" si="2"/>
        <v>196762</v>
      </c>
      <c r="O19" s="380">
        <v>3.37</v>
      </c>
      <c r="P19" s="380">
        <v>6.7</v>
      </c>
      <c r="Q19" s="97">
        <v>1735129</v>
      </c>
      <c r="R19" s="111">
        <f>(H19-Q19)/H19</f>
        <v>-1.6608367747841968</v>
      </c>
      <c r="S19" s="111">
        <f>Q19/H19</f>
        <v>2.660836774784197</v>
      </c>
      <c r="T19" s="47"/>
      <c r="U19" s="3">
        <f t="shared" si="6"/>
        <v>460434</v>
      </c>
      <c r="V19" s="50"/>
      <c r="X19" s="55"/>
    </row>
    <row r="20" spans="1:24" s="1" customFormat="1" ht="40.049999999999997" customHeight="1" thickBot="1">
      <c r="A20" s="853"/>
      <c r="B20" s="841"/>
      <c r="C20" s="189"/>
      <c r="D20" s="38"/>
      <c r="E20" s="38">
        <v>111150</v>
      </c>
      <c r="F20" s="419">
        <v>171475</v>
      </c>
      <c r="G20" s="38"/>
      <c r="H20" s="38">
        <v>311475</v>
      </c>
      <c r="I20" s="216">
        <v>342623</v>
      </c>
      <c r="J20" s="405" t="s">
        <v>146</v>
      </c>
      <c r="K20" s="468">
        <f>SUM(K15)</f>
        <v>0</v>
      </c>
      <c r="L20" s="469">
        <f t="shared" ref="L20:M20" si="12">SUM(L15)</f>
        <v>0</v>
      </c>
      <c r="M20" s="470">
        <f t="shared" si="12"/>
        <v>105600</v>
      </c>
      <c r="N20" s="496">
        <f t="shared" si="2"/>
        <v>105600</v>
      </c>
      <c r="O20" s="50">
        <f>F20/E20</f>
        <v>1.5427350427350428</v>
      </c>
      <c r="P20" s="50" t="e">
        <f>H20/C20</f>
        <v>#DIV/0!</v>
      </c>
      <c r="Q20" s="48"/>
      <c r="R20" s="47"/>
      <c r="S20" s="47"/>
      <c r="T20" s="47"/>
      <c r="U20" s="3">
        <f t="shared" si="6"/>
        <v>205875</v>
      </c>
      <c r="V20" s="50"/>
      <c r="X20" s="55"/>
    </row>
    <row r="21" spans="1:24" s="1" customFormat="1" ht="40.049999999999997" customHeight="1" thickTop="1">
      <c r="A21" s="854"/>
      <c r="B21" s="398" t="s">
        <v>19</v>
      </c>
      <c r="C21" s="190"/>
      <c r="D21" s="190"/>
      <c r="E21" s="190">
        <f t="shared" ref="E21:I21" si="13">SUM(E18:E20)</f>
        <v>1151769</v>
      </c>
      <c r="F21" s="190">
        <f t="shared" si="13"/>
        <v>2702238</v>
      </c>
      <c r="G21" s="190">
        <f>SUM(G18:G20)</f>
        <v>0</v>
      </c>
      <c r="H21" s="190">
        <f t="shared" si="13"/>
        <v>4910056.5</v>
      </c>
      <c r="I21" s="399">
        <f t="shared" si="13"/>
        <v>5401062.6500000004</v>
      </c>
      <c r="J21" s="395"/>
      <c r="K21" s="495">
        <f>SUM(K18:K20)</f>
        <v>25780</v>
      </c>
      <c r="L21" s="194">
        <f>SUM(L18:L20)</f>
        <v>10853</v>
      </c>
      <c r="M21" s="107">
        <f>SUM(M18:M20)</f>
        <v>1135093</v>
      </c>
      <c r="N21" s="204">
        <f t="shared" si="2"/>
        <v>1171726</v>
      </c>
      <c r="O21" s="48"/>
      <c r="P21" s="48"/>
      <c r="Q21" s="48"/>
      <c r="R21" s="47"/>
      <c r="S21" s="47"/>
      <c r="T21" s="47"/>
      <c r="U21" s="3">
        <f t="shared" si="6"/>
        <v>3774963.5</v>
      </c>
      <c r="V21" s="50"/>
      <c r="X21" s="55"/>
    </row>
    <row r="22" spans="1:24" s="1" customFormat="1" ht="33" customHeight="1">
      <c r="A22"/>
      <c r="B22" s="40" t="s">
        <v>20</v>
      </c>
      <c r="I22" s="41"/>
      <c r="J22" s="44"/>
      <c r="M22" s="48">
        <v>2300000</v>
      </c>
      <c r="N22" s="48"/>
      <c r="O22" s="48"/>
      <c r="P22" s="48"/>
      <c r="Q22" s="48"/>
      <c r="R22" s="47"/>
      <c r="S22" s="47"/>
      <c r="T22" s="47"/>
      <c r="U22" s="48"/>
      <c r="V22" s="50"/>
      <c r="X22" s="55"/>
    </row>
    <row r="23" spans="1:24" ht="51.6" customHeight="1">
      <c r="L23" s="48" t="s">
        <v>110</v>
      </c>
    </row>
    <row r="27" spans="1:24">
      <c r="L27" s="48"/>
    </row>
  </sheetData>
  <mergeCells count="30">
    <mergeCell ref="K15:K16"/>
    <mergeCell ref="A9:B9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15:L16"/>
    <mergeCell ref="M15:M16"/>
    <mergeCell ref="A18:A21"/>
    <mergeCell ref="B19:B20"/>
    <mergeCell ref="T2:T3"/>
    <mergeCell ref="A7:B7"/>
    <mergeCell ref="A11:B11"/>
    <mergeCell ref="A12:B12"/>
    <mergeCell ref="A13:B13"/>
    <mergeCell ref="L2:L3"/>
    <mergeCell ref="O2:O3"/>
    <mergeCell ref="P2:P3"/>
    <mergeCell ref="Q2:Q3"/>
    <mergeCell ref="R2:R3"/>
    <mergeCell ref="S2:S3"/>
    <mergeCell ref="A15:A16"/>
    <mergeCell ref="N15:N16"/>
    <mergeCell ref="B15:B16"/>
  </mergeCells>
  <phoneticPr fontId="3"/>
  <conditionalFormatting sqref="C15:C16">
    <cfRule type="expression" dxfId="455" priority="11">
      <formula>COUNTIF(#REF!,"*一部*")</formula>
    </cfRule>
    <cfRule type="expression" dxfId="454" priority="10">
      <formula>COUNTIF(#REF!,"*済*")</formula>
    </cfRule>
    <cfRule type="expression" dxfId="453" priority="12">
      <formula>COUNTIF(#REF!,"*未*")</formula>
    </cfRule>
  </conditionalFormatting>
  <conditionalFormatting sqref="E9">
    <cfRule type="expression" dxfId="452" priority="47">
      <formula>COUNTIF(#REF!,"*一部*")</formula>
    </cfRule>
    <cfRule type="expression" dxfId="451" priority="46">
      <formula>COUNTIF(#REF!,"*済*")</formula>
    </cfRule>
    <cfRule type="expression" dxfId="450" priority="48">
      <formula>COUNTIF(#REF!,"*未*")</formula>
    </cfRule>
  </conditionalFormatting>
  <conditionalFormatting sqref="E9:F9">
    <cfRule type="expression" dxfId="449" priority="42">
      <formula>COUNTIF(#REF!,"*未*")</formula>
    </cfRule>
    <cfRule type="expression" dxfId="448" priority="40">
      <formula>COUNTIF(#REF!,"*済*")</formula>
    </cfRule>
    <cfRule type="expression" dxfId="447" priority="41">
      <formula>COUNTIF(#REF!,"*一部*")</formula>
    </cfRule>
  </conditionalFormatting>
  <conditionalFormatting sqref="E13:F13 J13 J15:J16">
    <cfRule type="expression" dxfId="446" priority="84">
      <formula>COUNTIF(#REF!,"*未*")</formula>
    </cfRule>
    <cfRule type="expression" dxfId="445" priority="83">
      <formula>COUNTIF(#REF!,"*一部*")</formula>
    </cfRule>
    <cfRule type="expression" dxfId="444" priority="82">
      <formula>COUNTIF(#REF!,"*済*")</formula>
    </cfRule>
  </conditionalFormatting>
  <conditionalFormatting sqref="E15:F16">
    <cfRule type="expression" dxfId="443" priority="2">
      <formula>COUNTIF(#REF!,"*一部*")</formula>
    </cfRule>
    <cfRule type="expression" dxfId="442" priority="3">
      <formula>COUNTIF(#REF!,"*未*")</formula>
    </cfRule>
    <cfRule type="expression" dxfId="441" priority="1">
      <formula>COUNTIF(#REF!,"*済*")</formula>
    </cfRule>
  </conditionalFormatting>
  <conditionalFormatting sqref="E11:G12 J11:K12">
    <cfRule type="expression" dxfId="440" priority="85">
      <formula>COUNTIF(#REF!,"*済*")</formula>
    </cfRule>
    <cfRule type="expression" dxfId="439" priority="87">
      <formula>COUNTIF(#REF!,"*未*")</formula>
    </cfRule>
    <cfRule type="expression" dxfId="438" priority="86">
      <formula>COUNTIF(#REF!,"*一部*")</formula>
    </cfRule>
  </conditionalFormatting>
  <conditionalFormatting sqref="E7:H7">
    <cfRule type="expression" dxfId="437" priority="66">
      <formula>COUNTIF(#REF!,"*未*")</formula>
    </cfRule>
    <cfRule type="expression" dxfId="436" priority="65">
      <formula>COUNTIF(#REF!,"*一部*")</formula>
    </cfRule>
    <cfRule type="expression" dxfId="435" priority="64">
      <formula>COUNTIF(#REF!,"*済*")</formula>
    </cfRule>
    <cfRule type="expression" dxfId="434" priority="63">
      <formula>COUNTIF(#REF!,"*未*")</formula>
    </cfRule>
    <cfRule type="expression" dxfId="433" priority="62">
      <formula>COUNTIF(#REF!,"*一部*")</formula>
    </cfRule>
    <cfRule type="expression" dxfId="432" priority="61">
      <formula>COUNTIF(#REF!,"*済*")</formula>
    </cfRule>
  </conditionalFormatting>
  <conditionalFormatting sqref="E11:H12">
    <cfRule type="expression" dxfId="431" priority="81">
      <formula>COUNTIF(#REF!,"*未*")</formula>
    </cfRule>
    <cfRule type="expression" dxfId="430" priority="80">
      <formula>COUNTIF(#REF!,"*一部*")</formula>
    </cfRule>
    <cfRule type="expression" dxfId="429" priority="79">
      <formula>COUNTIF(#REF!,"*済*")</formula>
    </cfRule>
  </conditionalFormatting>
  <conditionalFormatting sqref="F9">
    <cfRule type="expression" dxfId="428" priority="37">
      <formula>COUNTIF(#REF!,"*済*")</formula>
    </cfRule>
    <cfRule type="expression" dxfId="427" priority="38">
      <formula>COUNTIF(#REF!,"*一部*")</formula>
    </cfRule>
    <cfRule type="expression" dxfId="426" priority="39">
      <formula>COUNTIF(#REF!,"*未*")</formula>
    </cfRule>
  </conditionalFormatting>
  <conditionalFormatting sqref="F13">
    <cfRule type="expression" dxfId="425" priority="93">
      <formula>COUNTIF(#REF!,"*未*")</formula>
    </cfRule>
    <cfRule type="expression" dxfId="424" priority="89">
      <formula>COUNTIF(#REF!,"*一部*")</formula>
    </cfRule>
    <cfRule type="expression" dxfId="423" priority="88">
      <formula>COUNTIF(#REF!,"*済*")</formula>
    </cfRule>
    <cfRule type="expression" dxfId="422" priority="90">
      <formula>COUNTIF(#REF!,"*未*")</formula>
    </cfRule>
    <cfRule type="expression" dxfId="421" priority="91">
      <formula>COUNTIF(#REF!,"*済*")</formula>
    </cfRule>
    <cfRule type="expression" dxfId="420" priority="92">
      <formula>COUNTIF(#REF!,"*一部*")</formula>
    </cfRule>
  </conditionalFormatting>
  <conditionalFormatting sqref="F15:F16">
    <cfRule type="expression" dxfId="419" priority="4">
      <formula>COUNTIF(#REF!,"*済*")</formula>
    </cfRule>
    <cfRule type="expression" dxfId="418" priority="5">
      <formula>COUNTIF(#REF!,"*一部*")</formula>
    </cfRule>
    <cfRule type="expression" dxfId="417" priority="7">
      <formula>COUNTIF(#REF!,"*済*")</formula>
    </cfRule>
    <cfRule type="expression" dxfId="416" priority="8">
      <formula>COUNTIF(#REF!,"*一部*")</formula>
    </cfRule>
    <cfRule type="expression" dxfId="415" priority="9">
      <formula>COUNTIF(#REF!,"*未*")</formula>
    </cfRule>
    <cfRule type="expression" dxfId="414" priority="6">
      <formula>COUNTIF(#REF!,"*未*")</formula>
    </cfRule>
  </conditionalFormatting>
  <conditionalFormatting sqref="H7">
    <cfRule type="expression" dxfId="413" priority="76">
      <formula>COUNTIF(#REF!,"*済*")</formula>
    </cfRule>
    <cfRule type="expression" dxfId="412" priority="73">
      <formula>COUNTIF(#REF!,"*済*")</formula>
    </cfRule>
    <cfRule type="expression" dxfId="411" priority="74">
      <formula>COUNTIF(#REF!,"*一部*")</formula>
    </cfRule>
    <cfRule type="expression" dxfId="410" priority="75">
      <formula>COUNTIF(#REF!,"*未*")</formula>
    </cfRule>
    <cfRule type="expression" dxfId="409" priority="77">
      <formula>COUNTIF(#REF!,"*一部*")</formula>
    </cfRule>
    <cfRule type="expression" dxfId="408" priority="78">
      <formula>COUNTIF(#REF!,"*未*")</formula>
    </cfRule>
  </conditionalFormatting>
  <conditionalFormatting sqref="H9">
    <cfRule type="expression" dxfId="407" priority="29">
      <formula>COUNTIF(#REF!,"*一部*")</formula>
    </cfRule>
    <cfRule type="expression" dxfId="406" priority="35">
      <formula>COUNTIF(#REF!,"*一部*")</formula>
    </cfRule>
    <cfRule type="expression" dxfId="405" priority="30">
      <formula>COUNTIF(#REF!,"*未*")</formula>
    </cfRule>
    <cfRule type="expression" dxfId="404" priority="34">
      <formula>COUNTIF(#REF!,"*済*")</formula>
    </cfRule>
    <cfRule type="expression" dxfId="403" priority="33">
      <formula>COUNTIF(#REF!,"*未*")</formula>
    </cfRule>
    <cfRule type="expression" dxfId="402" priority="32">
      <formula>COUNTIF(#REF!,"*一部*")</formula>
    </cfRule>
    <cfRule type="expression" dxfId="401" priority="31">
      <formula>COUNTIF(#REF!,"*済*")</formula>
    </cfRule>
    <cfRule type="expression" dxfId="400" priority="26">
      <formula>COUNTIF(#REF!,"*一部*")</formula>
    </cfRule>
    <cfRule type="expression" dxfId="399" priority="27">
      <formula>COUNTIF(#REF!,"*未*")</formula>
    </cfRule>
    <cfRule type="expression" dxfId="398" priority="28">
      <formula>COUNTIF(#REF!,"*済*")</formula>
    </cfRule>
    <cfRule type="expression" dxfId="397" priority="25">
      <formula>COUNTIF(#REF!,"*済*")</formula>
    </cfRule>
    <cfRule type="expression" dxfId="396" priority="36">
      <formula>COUNTIF(#REF!,"*未*")</formula>
    </cfRule>
  </conditionalFormatting>
  <conditionalFormatting sqref="H11:H13">
    <cfRule type="expression" dxfId="395" priority="54">
      <formula>COUNTIF(#REF!,"*未*")</formula>
    </cfRule>
    <cfRule type="expression" dxfId="394" priority="52">
      <formula>COUNTIF(#REF!,"*済*")</formula>
    </cfRule>
    <cfRule type="expression" dxfId="393" priority="53">
      <formula>COUNTIF(#REF!,"*一部*")</formula>
    </cfRule>
  </conditionalFormatting>
  <conditionalFormatting sqref="H13">
    <cfRule type="expression" dxfId="392" priority="49">
      <formula>COUNTIF(#REF!,"*済*")</formula>
    </cfRule>
    <cfRule type="expression" dxfId="391" priority="50">
      <formula>COUNTIF(#REF!,"*一部*")</formula>
    </cfRule>
    <cfRule type="expression" dxfId="390" priority="51">
      <formula>COUNTIF(#REF!,"*未*")</formula>
    </cfRule>
    <cfRule type="expression" dxfId="389" priority="58">
      <formula>COUNTIF(#REF!,"*済*")</formula>
    </cfRule>
    <cfRule type="expression" dxfId="388" priority="59">
      <formula>COUNTIF(#REF!,"*一部*")</formula>
    </cfRule>
    <cfRule type="expression" dxfId="387" priority="60">
      <formula>COUNTIF(#REF!,"*未*")</formula>
    </cfRule>
  </conditionalFormatting>
  <conditionalFormatting sqref="J9">
    <cfRule type="expression" dxfId="386" priority="24">
      <formula>COUNTIF(#REF!,"*未*")</formula>
    </cfRule>
    <cfRule type="expression" dxfId="385" priority="23">
      <formula>COUNTIF(#REF!,"*一部*")</formula>
    </cfRule>
    <cfRule type="expression" dxfId="384" priority="22">
      <formula>COUNTIF(#REF!,"*済*")</formula>
    </cfRule>
  </conditionalFormatting>
  <conditionalFormatting sqref="J7:K7 J9:K9">
    <cfRule type="expression" dxfId="383" priority="18">
      <formula>COUNTIF(#REF!,"*未*")</formula>
    </cfRule>
    <cfRule type="expression" dxfId="382" priority="17">
      <formula>COUNTIF(#REF!,"*一部*")</formula>
    </cfRule>
  </conditionalFormatting>
  <conditionalFormatting sqref="J7:K7">
    <cfRule type="expression" dxfId="381" priority="67">
      <formula>COUNTIF(#REF!,"*済*")</formula>
    </cfRule>
    <cfRule type="expression" dxfId="380" priority="69">
      <formula>COUNTIF(#REF!,"*未*")</formula>
    </cfRule>
    <cfRule type="expression" dxfId="379" priority="68">
      <formula>COUNTIF(#REF!,"*一部*")</formula>
    </cfRule>
  </conditionalFormatting>
  <conditionalFormatting sqref="J9:K9 J7:K7">
    <cfRule type="expression" dxfId="378" priority="16">
      <formula>COUNTIF(#REF!,"*済*")</formula>
    </cfRule>
  </conditionalFormatting>
  <conditionalFormatting sqref="J11:K12">
    <cfRule type="expression" dxfId="377" priority="94">
      <formula>COUNTIF(#REF!,"*済*")</formula>
    </cfRule>
    <cfRule type="expression" dxfId="376" priority="95">
      <formula>COUNTIF(#REF!,"*一部*")</formula>
    </cfRule>
    <cfRule type="expression" dxfId="375" priority="96">
      <formula>COUNTIF(#REF!,"*未*")</formula>
    </cfRule>
  </conditionalFormatting>
  <conditionalFormatting sqref="K9">
    <cfRule type="expression" dxfId="374" priority="15">
      <formula>COUNTIF(#REF!,"*未*")</formula>
    </cfRule>
    <cfRule type="expression" dxfId="373" priority="14">
      <formula>COUNTIF(#REF!,"*一部*")</formula>
    </cfRule>
    <cfRule type="expression" dxfId="372" priority="13">
      <formula>COUNTIF(#REF!,"*済*")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6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74C2-2584-4F9E-A169-8DB4DEDA650E}">
  <sheetPr codeName="Sheet2">
    <pageSetUpPr fitToPage="1"/>
  </sheetPr>
  <dimension ref="A1:W43"/>
  <sheetViews>
    <sheetView zoomScale="96" zoomScaleNormal="96" workbookViewId="0">
      <selection activeCell="K5" sqref="K5:M5"/>
    </sheetView>
  </sheetViews>
  <sheetFormatPr defaultRowHeight="13.2"/>
  <cols>
    <col min="1" max="1" width="9.77734375" customWidth="1"/>
    <col min="2" max="2" width="12.5546875" style="42" customWidth="1"/>
    <col min="3" max="3" width="10.77734375" style="1" customWidth="1"/>
    <col min="4" max="4" width="12.77734375" style="1" customWidth="1"/>
    <col min="5" max="5" width="10.777343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39.88671875" style="44" customWidth="1"/>
    <col min="11" max="12" width="10.77734375" style="1" customWidth="1"/>
    <col min="13" max="13" width="13.44140625" style="48" customWidth="1"/>
    <col min="14" max="14" width="8.77734375" style="48" bestFit="1" customWidth="1"/>
    <col min="15" max="15" width="8.77734375" style="48" customWidth="1"/>
    <col min="16" max="16" width="13.44140625" style="48" customWidth="1"/>
    <col min="17" max="18" width="9.6640625" style="47" customWidth="1"/>
    <col min="19" max="19" width="13" style="47" customWidth="1"/>
    <col min="20" max="20" width="11.33203125" style="48" customWidth="1"/>
    <col min="21" max="21" width="9.109375" style="50" bestFit="1" customWidth="1"/>
    <col min="22" max="22" width="8.88671875" style="1"/>
    <col min="23" max="23" width="13.33203125" style="53" bestFit="1" customWidth="1"/>
  </cols>
  <sheetData>
    <row r="1" spans="1:23" ht="32.25" customHeight="1">
      <c r="A1" s="872" t="s">
        <v>106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369"/>
      <c r="O1" s="369"/>
    </row>
    <row r="2" spans="1:23" ht="40.049999999999997" customHeight="1">
      <c r="A2" s="873" t="s">
        <v>1</v>
      </c>
      <c r="B2" s="875" t="s">
        <v>2</v>
      </c>
      <c r="C2" s="876" t="s">
        <v>3</v>
      </c>
      <c r="D2" s="877"/>
      <c r="E2" s="877" t="s">
        <v>65</v>
      </c>
      <c r="F2" s="878"/>
      <c r="G2" s="879" t="s">
        <v>5</v>
      </c>
      <c r="H2" s="880" t="s">
        <v>31</v>
      </c>
      <c r="I2" s="881" t="s">
        <v>6</v>
      </c>
      <c r="J2" s="882" t="s">
        <v>7</v>
      </c>
      <c r="K2" s="889" t="s">
        <v>8</v>
      </c>
      <c r="L2" s="890" t="s">
        <v>9</v>
      </c>
      <c r="M2" s="218" t="s">
        <v>52</v>
      </c>
      <c r="N2" s="893" t="s">
        <v>121</v>
      </c>
      <c r="O2" s="861" t="s">
        <v>122</v>
      </c>
      <c r="P2" s="863" t="s">
        <v>51</v>
      </c>
      <c r="Q2" s="799" t="s">
        <v>50</v>
      </c>
      <c r="R2" s="799" t="s">
        <v>64</v>
      </c>
      <c r="S2" s="799" t="s">
        <v>35</v>
      </c>
      <c r="T2" s="48" t="s">
        <v>36</v>
      </c>
      <c r="U2" s="50" t="s">
        <v>37</v>
      </c>
      <c r="V2" s="52" t="s">
        <v>38</v>
      </c>
    </row>
    <row r="3" spans="1:23" s="7" customFormat="1" ht="40.049999999999997" customHeight="1" thickBot="1">
      <c r="A3" s="874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219" t="s">
        <v>53</v>
      </c>
      <c r="N3" s="894"/>
      <c r="O3" s="861"/>
      <c r="P3" s="863"/>
      <c r="Q3" s="799"/>
      <c r="R3" s="799"/>
      <c r="S3" s="799"/>
      <c r="T3" s="49"/>
      <c r="U3" s="51"/>
      <c r="V3" s="6"/>
      <c r="W3" s="54"/>
    </row>
    <row r="4" spans="1:23" ht="40.049999999999997" customHeight="1" thickTop="1">
      <c r="A4" s="199">
        <v>46045</v>
      </c>
      <c r="B4" s="200" t="s">
        <v>13</v>
      </c>
      <c r="C4" s="168">
        <v>57735</v>
      </c>
      <c r="D4" s="11">
        <v>490748</v>
      </c>
      <c r="E4" s="11">
        <v>78454</v>
      </c>
      <c r="F4" s="12">
        <v>172705</v>
      </c>
      <c r="G4" s="13">
        <v>10000</v>
      </c>
      <c r="H4" s="13">
        <f>D4+F4+G4</f>
        <v>673453</v>
      </c>
      <c r="I4" s="20">
        <f>H4*1.1</f>
        <v>740798.3</v>
      </c>
      <c r="J4" s="191" t="s">
        <v>127</v>
      </c>
      <c r="K4" s="302">
        <v>10330</v>
      </c>
      <c r="L4" s="303">
        <v>3044</v>
      </c>
      <c r="M4" s="203">
        <v>275118.2</v>
      </c>
      <c r="N4" s="372">
        <f>F4/E4</f>
        <v>2.2013536594692433</v>
      </c>
      <c r="O4" s="370">
        <f>(H4-G4)/C4</f>
        <v>11.491348402182386</v>
      </c>
      <c r="P4" s="96">
        <f>M4+L4+K4</f>
        <v>288492.2</v>
      </c>
      <c r="Q4" s="111">
        <f>(H4-P4)/H4</f>
        <v>0.57162237008373262</v>
      </c>
      <c r="R4" s="110"/>
      <c r="S4" s="3">
        <f>SUM(K4:M4)</f>
        <v>288492.2</v>
      </c>
      <c r="T4" s="3">
        <f t="shared" ref="T4:T8" si="0">H4-M4</f>
        <v>398334.8</v>
      </c>
      <c r="W4" s="53">
        <f t="shared" ref="W4:W5" si="1">(K4+L4+M4)/I4</f>
        <v>0.38943420901478848</v>
      </c>
    </row>
    <row r="5" spans="1:23" ht="40.049999999999997" customHeight="1">
      <c r="A5" s="201">
        <v>46052</v>
      </c>
      <c r="B5" s="202" t="s">
        <v>14</v>
      </c>
      <c r="C5" s="251">
        <v>69828</v>
      </c>
      <c r="D5" s="18">
        <v>593538</v>
      </c>
      <c r="E5" s="354">
        <v>174911</v>
      </c>
      <c r="F5" s="19">
        <v>347139</v>
      </c>
      <c r="G5" s="18">
        <v>5000</v>
      </c>
      <c r="H5" s="18">
        <v>945677</v>
      </c>
      <c r="I5" s="20">
        <f>H5*1.1</f>
        <v>1040244.7000000001</v>
      </c>
      <c r="J5" s="191" t="s">
        <v>140</v>
      </c>
      <c r="K5" s="304">
        <v>8383</v>
      </c>
      <c r="L5" s="305">
        <v>4350</v>
      </c>
      <c r="M5" s="204">
        <v>304608</v>
      </c>
      <c r="N5" s="371"/>
      <c r="O5" s="370"/>
      <c r="P5" s="96">
        <f>M5+L5+K5</f>
        <v>317341</v>
      </c>
      <c r="Q5" s="111">
        <f>(H5-P5)/H5</f>
        <v>0.66442982117572913</v>
      </c>
      <c r="R5" s="110"/>
      <c r="S5" s="3">
        <f>SUM(K5:M5)</f>
        <v>317341</v>
      </c>
      <c r="T5" s="3">
        <f t="shared" si="0"/>
        <v>641069</v>
      </c>
      <c r="V5" s="1">
        <v>391088</v>
      </c>
      <c r="W5" s="53">
        <f t="shared" si="1"/>
        <v>0.30506379893115532</v>
      </c>
    </row>
    <row r="6" spans="1:23" ht="10.8" customHeight="1">
      <c r="A6" s="409"/>
      <c r="B6" s="317"/>
      <c r="C6" s="171"/>
      <c r="D6" s="171"/>
      <c r="E6" s="171"/>
      <c r="F6" s="171"/>
      <c r="G6" s="171"/>
      <c r="H6" s="171"/>
      <c r="I6" s="355"/>
      <c r="J6" s="400"/>
      <c r="K6" s="319"/>
      <c r="L6" s="319"/>
      <c r="M6" s="410"/>
      <c r="N6" s="371"/>
      <c r="O6" s="371"/>
      <c r="P6" s="96"/>
      <c r="Q6" s="111"/>
      <c r="R6" s="110"/>
      <c r="S6" s="411"/>
      <c r="T6" s="411">
        <f t="shared" si="0"/>
        <v>0</v>
      </c>
      <c r="U6" s="412"/>
      <c r="V6" s="413"/>
      <c r="W6" s="414"/>
    </row>
    <row r="7" spans="1:23" ht="40.049999999999997" customHeight="1">
      <c r="A7" s="855" t="s">
        <v>116</v>
      </c>
      <c r="B7" s="856"/>
      <c r="C7" s="185"/>
      <c r="D7" s="99"/>
      <c r="E7" s="117">
        <v>59255</v>
      </c>
      <c r="F7" s="99">
        <v>237020</v>
      </c>
      <c r="G7" s="122">
        <v>2000</v>
      </c>
      <c r="H7" s="121">
        <v>239020</v>
      </c>
      <c r="I7" s="124">
        <f>H7*1.1</f>
        <v>262922</v>
      </c>
      <c r="J7" s="193" t="s">
        <v>128</v>
      </c>
      <c r="K7" s="125">
        <v>6660</v>
      </c>
      <c r="L7" s="125">
        <v>1921</v>
      </c>
      <c r="M7" s="207">
        <v>37370</v>
      </c>
      <c r="N7" s="371">
        <f t="shared" ref="N7:N12" si="2">F7/E7</f>
        <v>4</v>
      </c>
      <c r="O7" s="371">
        <f>F7/43255</f>
        <v>5.479597734365969</v>
      </c>
      <c r="P7" s="96">
        <f>M7+L7+K7</f>
        <v>45951</v>
      </c>
      <c r="Q7" s="111">
        <f>(H7-P7)/H7</f>
        <v>0.80775248933143673</v>
      </c>
      <c r="R7" s="110"/>
      <c r="S7" s="3">
        <f>SUM(K7:M7)</f>
        <v>45951</v>
      </c>
      <c r="T7" s="3">
        <f t="shared" si="0"/>
        <v>201650</v>
      </c>
      <c r="W7" s="53">
        <f>(K7+L7+M7)/I7</f>
        <v>0.17477046424414847</v>
      </c>
    </row>
    <row r="8" spans="1:23" ht="9" customHeight="1">
      <c r="A8" s="409"/>
      <c r="B8" s="317"/>
      <c r="C8" s="171"/>
      <c r="D8" s="171"/>
      <c r="E8" s="171"/>
      <c r="F8" s="171"/>
      <c r="G8" s="171"/>
      <c r="H8" s="171"/>
      <c r="I8" s="355"/>
      <c r="J8" s="400"/>
      <c r="K8" s="319"/>
      <c r="L8" s="319"/>
      <c r="M8" s="410"/>
      <c r="N8" s="371"/>
      <c r="O8" s="371"/>
      <c r="P8" s="96">
        <f>M8+L8+K8</f>
        <v>0</v>
      </c>
      <c r="Q8" s="111" t="e">
        <f>(H8-P8)/H8</f>
        <v>#DIV/0!</v>
      </c>
      <c r="R8" s="110"/>
      <c r="S8" s="411"/>
      <c r="T8" s="411">
        <f t="shared" si="0"/>
        <v>0</v>
      </c>
      <c r="U8" s="412"/>
      <c r="V8" s="413"/>
      <c r="W8" s="414"/>
    </row>
    <row r="9" spans="1:23" ht="40.049999999999997" customHeight="1">
      <c r="A9" s="857" t="s">
        <v>107</v>
      </c>
      <c r="B9" s="857"/>
      <c r="C9" s="391"/>
      <c r="D9" s="99"/>
      <c r="E9" s="392">
        <v>125220</v>
      </c>
      <c r="F9" s="121">
        <v>409822</v>
      </c>
      <c r="G9" s="122"/>
      <c r="H9" s="121">
        <v>409822</v>
      </c>
      <c r="I9" s="124">
        <f>H9*1.1</f>
        <v>450804.2</v>
      </c>
      <c r="J9" s="345"/>
      <c r="K9" s="125">
        <v>4620</v>
      </c>
      <c r="L9" s="125">
        <v>1205</v>
      </c>
      <c r="M9" s="207">
        <v>118062</v>
      </c>
      <c r="N9" s="371">
        <f t="shared" si="2"/>
        <v>3.2728158441143589</v>
      </c>
      <c r="O9" s="371">
        <f>F9/62610</f>
        <v>6.5456316882287178</v>
      </c>
      <c r="P9" s="96">
        <f>M9+L9+K9</f>
        <v>123887</v>
      </c>
      <c r="Q9" s="111">
        <f>(H9-P9)/H9</f>
        <v>0.69770534524744887</v>
      </c>
      <c r="R9" s="110"/>
      <c r="S9" s="3">
        <f>SUM(K9:M9)</f>
        <v>123887</v>
      </c>
      <c r="T9" s="3">
        <f>H9-M9</f>
        <v>291760</v>
      </c>
      <c r="W9" s="53">
        <f>(K9+L9+M9)/I9</f>
        <v>0.27481332250231916</v>
      </c>
    </row>
    <row r="10" spans="1:23" ht="40.049999999999997" customHeight="1">
      <c r="A10" s="858" t="s">
        <v>108</v>
      </c>
      <c r="B10" s="858"/>
      <c r="C10" s="393"/>
      <c r="D10" s="29"/>
      <c r="E10" s="128">
        <v>60620</v>
      </c>
      <c r="F10" s="129">
        <v>219963</v>
      </c>
      <c r="G10" s="130"/>
      <c r="H10" s="129">
        <v>219963</v>
      </c>
      <c r="I10" s="114">
        <f>H10*1.1</f>
        <v>241959.30000000002</v>
      </c>
      <c r="J10" s="346"/>
      <c r="K10" s="132">
        <v>400</v>
      </c>
      <c r="L10" s="132">
        <v>308</v>
      </c>
      <c r="M10" s="377">
        <v>95410</v>
      </c>
      <c r="N10" s="371">
        <f t="shared" si="2"/>
        <v>3.6285549323655557</v>
      </c>
      <c r="O10" s="371">
        <f>F10/30310</f>
        <v>7.2571098647311114</v>
      </c>
      <c r="P10" s="96"/>
      <c r="Q10" s="111"/>
      <c r="R10" s="110"/>
      <c r="S10" s="3"/>
      <c r="T10" s="3">
        <f t="shared" ref="T10:T20" si="3">H10-M10</f>
        <v>124553</v>
      </c>
      <c r="W10" s="53">
        <f t="shared" ref="W10" si="4">(K10+L10+M10)/I10</f>
        <v>0.39724862817837542</v>
      </c>
    </row>
    <row r="11" spans="1:23" ht="40.049999999999997" customHeight="1">
      <c r="A11" s="858" t="s">
        <v>109</v>
      </c>
      <c r="B11" s="858"/>
      <c r="C11" s="393"/>
      <c r="D11" s="29"/>
      <c r="E11" s="129">
        <v>80100</v>
      </c>
      <c r="F11" s="129">
        <v>256005</v>
      </c>
      <c r="G11" s="29"/>
      <c r="H11" s="142">
        <v>256005</v>
      </c>
      <c r="I11" s="114">
        <f>H11*1.1</f>
        <v>281605.5</v>
      </c>
      <c r="J11" s="346"/>
      <c r="K11" s="386">
        <v>308</v>
      </c>
      <c r="L11" s="132">
        <v>1600</v>
      </c>
      <c r="M11" s="377">
        <v>24781</v>
      </c>
      <c r="N11" s="371">
        <f t="shared" ref="N11" si="5">F11/E11</f>
        <v>3.196067415730337</v>
      </c>
      <c r="O11" s="371">
        <f>H11/40050</f>
        <v>6.3921348314606741</v>
      </c>
      <c r="P11" s="96">
        <f>M11+L11+K11</f>
        <v>26689</v>
      </c>
      <c r="Q11" s="111">
        <f>(H11-P11)/H11</f>
        <v>0.8957481299193375</v>
      </c>
      <c r="R11" s="110"/>
      <c r="S11" s="57"/>
      <c r="T11" s="3">
        <f t="shared" ref="T11" si="6">H11-M11</f>
        <v>231224</v>
      </c>
      <c r="W11" s="53" t="e">
        <f>(#REF!+L11+M11)/I11</f>
        <v>#REF!</v>
      </c>
    </row>
    <row r="12" spans="1:23" ht="40.049999999999997" customHeight="1">
      <c r="A12" s="901" t="s">
        <v>126</v>
      </c>
      <c r="B12" s="901"/>
      <c r="C12" s="394"/>
      <c r="D12" s="135"/>
      <c r="E12" s="316">
        <v>29400</v>
      </c>
      <c r="F12" s="316">
        <v>94310</v>
      </c>
      <c r="G12" s="135"/>
      <c r="H12" s="10">
        <v>94310</v>
      </c>
      <c r="I12" s="137">
        <f>H12*1.1</f>
        <v>103741.00000000001</v>
      </c>
      <c r="J12" s="388"/>
      <c r="K12" s="387">
        <v>1960</v>
      </c>
      <c r="L12" s="389">
        <v>84</v>
      </c>
      <c r="M12" s="390">
        <v>9100</v>
      </c>
      <c r="N12" s="371">
        <f t="shared" si="2"/>
        <v>3.2078231292517008</v>
      </c>
      <c r="O12" s="371">
        <f>H12/40050</f>
        <v>2.3548064918851437</v>
      </c>
      <c r="P12" s="96">
        <f>M12+L12+K12</f>
        <v>11144</v>
      </c>
      <c r="Q12" s="111">
        <f>(H12-P12)/H12</f>
        <v>0.88183649665995123</v>
      </c>
      <c r="R12" s="110"/>
      <c r="S12" s="57"/>
      <c r="T12" s="3">
        <f t="shared" si="3"/>
        <v>85210</v>
      </c>
      <c r="W12" s="53" t="e">
        <f>(#REF!+L12+M12)/I12</f>
        <v>#REF!</v>
      </c>
    </row>
    <row r="13" spans="1:23" ht="13.2" customHeight="1">
      <c r="A13" s="409"/>
      <c r="B13" s="317"/>
      <c r="C13" s="171"/>
      <c r="D13" s="171"/>
      <c r="E13" s="171"/>
      <c r="F13" s="171"/>
      <c r="G13" s="171"/>
      <c r="H13" s="171"/>
      <c r="I13" s="355"/>
      <c r="J13" s="415"/>
      <c r="K13" s="319"/>
      <c r="L13" s="319"/>
      <c r="M13" s="410"/>
      <c r="N13" s="371"/>
      <c r="O13" s="371"/>
      <c r="P13" s="96">
        <f t="shared" ref="P13:P17" si="7">M13+L13+K13</f>
        <v>0</v>
      </c>
      <c r="Q13" s="111" t="e">
        <f>(H13-P13)/H13</f>
        <v>#DIV/0!</v>
      </c>
      <c r="R13" s="110"/>
      <c r="S13" s="58" t="e">
        <f>SUM(#REF!)</f>
        <v>#REF!</v>
      </c>
      <c r="T13" s="411">
        <f t="shared" si="3"/>
        <v>0</v>
      </c>
      <c r="U13" s="412"/>
      <c r="V13" s="413"/>
      <c r="W13" s="414"/>
    </row>
    <row r="14" spans="1:23" s="1" customFormat="1" ht="40.049999999999997" customHeight="1">
      <c r="A14" s="797" t="s">
        <v>115</v>
      </c>
      <c r="B14" s="797" t="s">
        <v>117</v>
      </c>
      <c r="C14" s="220">
        <v>6300</v>
      </c>
      <c r="D14" s="99">
        <v>63000</v>
      </c>
      <c r="E14" s="221">
        <v>32700</v>
      </c>
      <c r="F14" s="221">
        <v>78000</v>
      </c>
      <c r="G14" s="99"/>
      <c r="H14" s="99">
        <v>141000</v>
      </c>
      <c r="I14" s="124">
        <v>155100</v>
      </c>
      <c r="J14" s="193" t="s">
        <v>129</v>
      </c>
      <c r="K14" s="895">
        <v>500</v>
      </c>
      <c r="L14" s="897"/>
      <c r="M14" s="891">
        <v>135980</v>
      </c>
      <c r="N14" s="371">
        <f>F14/E14</f>
        <v>2.3853211009174311</v>
      </c>
      <c r="O14" s="370">
        <f t="shared" ref="O14:O15" si="8">(H14-G14)/C14</f>
        <v>22.38095238095238</v>
      </c>
      <c r="P14" s="96">
        <f t="shared" si="7"/>
        <v>136480</v>
      </c>
      <c r="Q14" s="111"/>
      <c r="R14" s="110"/>
      <c r="S14" s="58"/>
      <c r="T14" s="3">
        <f t="shared" si="3"/>
        <v>5020</v>
      </c>
      <c r="U14" s="50"/>
      <c r="W14" s="55"/>
    </row>
    <row r="15" spans="1:23" s="1" customFormat="1" ht="40.049999999999997" customHeight="1">
      <c r="A15" s="798"/>
      <c r="B15" s="798"/>
      <c r="C15" s="186">
        <v>8200</v>
      </c>
      <c r="D15" s="222">
        <v>82000</v>
      </c>
      <c r="E15" s="85">
        <v>50950</v>
      </c>
      <c r="F15" s="85">
        <v>84625</v>
      </c>
      <c r="G15" s="100"/>
      <c r="H15" s="31">
        <v>166625</v>
      </c>
      <c r="I15" s="137">
        <v>183288</v>
      </c>
      <c r="J15" s="33" t="s">
        <v>130</v>
      </c>
      <c r="K15" s="896"/>
      <c r="L15" s="898"/>
      <c r="M15" s="892"/>
      <c r="N15" s="371">
        <f>F15/E15</f>
        <v>1.6609421000981355</v>
      </c>
      <c r="O15" s="370">
        <f t="shared" si="8"/>
        <v>20.320121951219512</v>
      </c>
      <c r="P15" s="96">
        <f t="shared" si="7"/>
        <v>0</v>
      </c>
      <c r="Q15" s="111">
        <f>(H15-P15)/H15</f>
        <v>1</v>
      </c>
      <c r="R15" s="111">
        <f>P15/H15</f>
        <v>0</v>
      </c>
      <c r="S15" s="47"/>
      <c r="T15" s="3">
        <f t="shared" si="3"/>
        <v>166625</v>
      </c>
      <c r="U15" s="50"/>
      <c r="W15" s="55">
        <f>S15/(I14+I15)</f>
        <v>0</v>
      </c>
    </row>
    <row r="16" spans="1:23" s="413" customFormat="1" ht="10.8" customHeight="1">
      <c r="A16" s="409"/>
      <c r="B16" s="376"/>
      <c r="C16" s="358"/>
      <c r="D16" s="358"/>
      <c r="E16" s="358"/>
      <c r="F16" s="358"/>
      <c r="G16" s="358"/>
      <c r="H16" s="358"/>
      <c r="I16" s="401"/>
      <c r="J16" s="416"/>
      <c r="K16" s="305"/>
      <c r="L16" s="305"/>
      <c r="M16" s="417"/>
      <c r="N16" s="371"/>
      <c r="O16" s="371"/>
      <c r="P16" s="96">
        <f t="shared" si="7"/>
        <v>0</v>
      </c>
      <c r="Q16" s="111" t="e">
        <f>(H16-P16)/H16</f>
        <v>#DIV/0!</v>
      </c>
      <c r="R16" s="111" t="e">
        <f>P16/H16</f>
        <v>#DIV/0!</v>
      </c>
      <c r="S16" s="111"/>
      <c r="T16" s="411">
        <f t="shared" si="3"/>
        <v>0</v>
      </c>
      <c r="U16" s="412"/>
      <c r="W16" s="418"/>
    </row>
    <row r="17" spans="1:23" s="1" customFormat="1" ht="40.049999999999997" customHeight="1">
      <c r="A17" s="852" t="s">
        <v>114</v>
      </c>
      <c r="B17" s="378" t="s">
        <v>28</v>
      </c>
      <c r="C17" s="407">
        <v>127563</v>
      </c>
      <c r="D17" s="379">
        <v>1084286</v>
      </c>
      <c r="E17" s="379">
        <v>253365</v>
      </c>
      <c r="F17" s="379">
        <v>519844</v>
      </c>
      <c r="G17" s="379">
        <v>15000</v>
      </c>
      <c r="H17" s="379">
        <v>1858150</v>
      </c>
      <c r="I17" s="396">
        <f>SUM(I4:I7)</f>
        <v>2043965</v>
      </c>
      <c r="J17" s="383" t="s">
        <v>131</v>
      </c>
      <c r="K17" s="384">
        <f>SUM(K4:K7)</f>
        <v>25373</v>
      </c>
      <c r="L17" s="385">
        <f>SUM(L4:L7)</f>
        <v>9315</v>
      </c>
      <c r="M17" s="68">
        <f>SUM(M4:M7)</f>
        <v>617096.19999999995</v>
      </c>
      <c r="N17" s="371"/>
      <c r="O17" s="371"/>
      <c r="P17" s="96">
        <f t="shared" si="7"/>
        <v>651784.19999999995</v>
      </c>
      <c r="Q17" s="111">
        <f>(H17-P17)/H17</f>
        <v>0.6492295024621263</v>
      </c>
      <c r="R17" s="111">
        <f>P17/H17</f>
        <v>0.35077049753787365</v>
      </c>
      <c r="S17" s="47"/>
      <c r="T17" s="3">
        <f t="shared" si="3"/>
        <v>1241053.8</v>
      </c>
      <c r="U17" s="50"/>
      <c r="W17" s="55"/>
    </row>
    <row r="18" spans="1:23" s="1" customFormat="1" ht="40.049999999999997" customHeight="1">
      <c r="A18" s="853"/>
      <c r="B18" s="899" t="s">
        <v>5</v>
      </c>
      <c r="C18" s="408"/>
      <c r="D18" s="235"/>
      <c r="E18" s="235">
        <f>SUM(E9:E12)</f>
        <v>295340</v>
      </c>
      <c r="F18" s="235">
        <f>SUM(F9:F12)</f>
        <v>980100</v>
      </c>
      <c r="G18" s="235"/>
      <c r="H18" s="235">
        <f>SUM(H9:H12)</f>
        <v>980100</v>
      </c>
      <c r="I18" s="397">
        <f>SUM(I9:I12)</f>
        <v>1078110</v>
      </c>
      <c r="J18" s="381" t="s">
        <v>132</v>
      </c>
      <c r="K18" s="246">
        <f>SUM(K9:K12)</f>
        <v>7288</v>
      </c>
      <c r="L18" s="382">
        <v>3197</v>
      </c>
      <c r="M18" s="75">
        <f>SUM(M9:M12)</f>
        <v>247353</v>
      </c>
      <c r="N18" s="380">
        <v>3.37</v>
      </c>
      <c r="O18" s="380">
        <v>6.7</v>
      </c>
      <c r="P18" s="97">
        <v>1735129</v>
      </c>
      <c r="Q18" s="111">
        <f>(H18-P18)/H18</f>
        <v>-0.77035914702581365</v>
      </c>
      <c r="R18" s="111">
        <f>P18/H18</f>
        <v>1.7703591470258138</v>
      </c>
      <c r="S18" s="47"/>
      <c r="T18" s="3">
        <f t="shared" si="3"/>
        <v>732747</v>
      </c>
      <c r="U18" s="50"/>
      <c r="W18" s="55"/>
    </row>
    <row r="19" spans="1:23" s="1" customFormat="1" ht="40.049999999999997" customHeight="1" thickBot="1">
      <c r="A19" s="853"/>
      <c r="B19" s="900"/>
      <c r="C19" s="309">
        <f>SUM(C14:C15)</f>
        <v>14500</v>
      </c>
      <c r="D19" s="38">
        <f t="shared" ref="D19:F19" si="9">SUM(D14:D15)</f>
        <v>145000</v>
      </c>
      <c r="E19" s="38">
        <f t="shared" si="9"/>
        <v>83650</v>
      </c>
      <c r="F19" s="38">
        <f t="shared" si="9"/>
        <v>162625</v>
      </c>
      <c r="G19" s="38"/>
      <c r="H19" s="38">
        <v>307625</v>
      </c>
      <c r="I19" s="216">
        <v>338388</v>
      </c>
      <c r="J19" s="217" t="s">
        <v>133</v>
      </c>
      <c r="K19" s="248">
        <f>SUM(K14)</f>
        <v>500</v>
      </c>
      <c r="L19" s="310"/>
      <c r="M19" s="79">
        <f>SUM(M14)</f>
        <v>135980</v>
      </c>
      <c r="N19" s="50">
        <f>F19/E19</f>
        <v>1.9441123729826659</v>
      </c>
      <c r="O19" s="50">
        <f>H19/C19</f>
        <v>21.21551724137931</v>
      </c>
      <c r="P19" s="48"/>
      <c r="Q19" s="47"/>
      <c r="R19" s="47"/>
      <c r="S19" s="47"/>
      <c r="T19" s="3">
        <f t="shared" si="3"/>
        <v>171645</v>
      </c>
      <c r="U19" s="50"/>
      <c r="W19" s="55"/>
    </row>
    <row r="20" spans="1:23" s="1" customFormat="1" ht="40.049999999999997" customHeight="1" thickTop="1">
      <c r="A20" s="854"/>
      <c r="B20" s="398" t="s">
        <v>19</v>
      </c>
      <c r="C20" s="190"/>
      <c r="D20" s="190"/>
      <c r="E20" s="190">
        <f t="shared" ref="E20:I20" si="10">SUM(E17:E19)</f>
        <v>632355</v>
      </c>
      <c r="F20" s="190">
        <f t="shared" si="10"/>
        <v>1662569</v>
      </c>
      <c r="G20" s="190">
        <f t="shared" si="10"/>
        <v>15000</v>
      </c>
      <c r="H20" s="190">
        <f t="shared" si="10"/>
        <v>3145875</v>
      </c>
      <c r="I20" s="399">
        <f t="shared" si="10"/>
        <v>3460463</v>
      </c>
      <c r="J20" s="395"/>
      <c r="K20" s="194">
        <f>SUM(K17:K19)</f>
        <v>33161</v>
      </c>
      <c r="L20" s="194">
        <f>SUM(L17:L19)</f>
        <v>12512</v>
      </c>
      <c r="M20" s="107">
        <f>SUM(M17:M19)</f>
        <v>1000429.2</v>
      </c>
      <c r="N20" s="48"/>
      <c r="O20" s="48"/>
      <c r="P20" s="48"/>
      <c r="Q20" s="47"/>
      <c r="R20" s="47"/>
      <c r="S20" s="47"/>
      <c r="T20" s="3">
        <f t="shared" si="3"/>
        <v>2145445.7999999998</v>
      </c>
      <c r="U20" s="50"/>
      <c r="W20" s="55"/>
    </row>
    <row r="21" spans="1:23" s="1" customFormat="1" ht="33" customHeight="1">
      <c r="A21"/>
      <c r="B21" s="40" t="s">
        <v>20</v>
      </c>
      <c r="I21" s="41"/>
      <c r="J21" s="44"/>
      <c r="M21" s="48">
        <v>2300000</v>
      </c>
      <c r="N21" s="48"/>
      <c r="O21" s="48"/>
      <c r="P21" s="48"/>
      <c r="Q21" s="47"/>
      <c r="R21" s="47"/>
      <c r="S21" s="47"/>
      <c r="T21" s="48"/>
      <c r="U21" s="50"/>
      <c r="W21" s="55"/>
    </row>
    <row r="22" spans="1:23">
      <c r="L22" s="48" t="s">
        <v>110</v>
      </c>
      <c r="M22" s="48" t="s">
        <v>111</v>
      </c>
    </row>
    <row r="25" spans="1:23">
      <c r="J25" s="150"/>
    </row>
    <row r="28" spans="1:23">
      <c r="M28" s="48" t="s">
        <v>112</v>
      </c>
    </row>
    <row r="43" spans="12:13">
      <c r="L43" s="48" t="s">
        <v>51</v>
      </c>
      <c r="M43" s="48" t="s">
        <v>113</v>
      </c>
    </row>
  </sheetData>
  <mergeCells count="29">
    <mergeCell ref="K14:K15"/>
    <mergeCell ref="L14:L15"/>
    <mergeCell ref="A17:A20"/>
    <mergeCell ref="B18:B19"/>
    <mergeCell ref="A10:B10"/>
    <mergeCell ref="A12:B12"/>
    <mergeCell ref="A14:A15"/>
    <mergeCell ref="B14:B15"/>
    <mergeCell ref="A11:B11"/>
    <mergeCell ref="O2:O3"/>
    <mergeCell ref="P2:P3"/>
    <mergeCell ref="Q2:Q3"/>
    <mergeCell ref="S2:S3"/>
    <mergeCell ref="M14:M15"/>
    <mergeCell ref="N2:N3"/>
    <mergeCell ref="R2:R3"/>
    <mergeCell ref="A9:B9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  <mergeCell ref="A7:B7"/>
  </mergeCells>
  <phoneticPr fontId="3"/>
  <conditionalFormatting sqref="E11:F12 J11:J12 C14:C15 E14:F15 J14:J15">
    <cfRule type="expression" dxfId="371" priority="24">
      <formula>COUNTIF(#REF!,"*未*")</formula>
    </cfRule>
    <cfRule type="expression" dxfId="370" priority="23">
      <formula>COUNTIF(#REF!,"*一部*")</formula>
    </cfRule>
    <cfRule type="expression" dxfId="369" priority="22">
      <formula>COUNTIF(#REF!,"*済*")</formula>
    </cfRule>
  </conditionalFormatting>
  <conditionalFormatting sqref="E9:G10 J9:K10">
    <cfRule type="expression" dxfId="368" priority="27">
      <formula>COUNTIF(#REF!,"*未*")</formula>
    </cfRule>
    <cfRule type="expression" dxfId="367" priority="26">
      <formula>COUNTIF(#REF!,"*一部*")</formula>
    </cfRule>
    <cfRule type="expression" dxfId="366" priority="25">
      <formula>COUNTIF(#REF!,"*済*")</formula>
    </cfRule>
  </conditionalFormatting>
  <conditionalFormatting sqref="E7:H7 J7:K7">
    <cfRule type="expression" dxfId="365" priority="4">
      <formula>COUNTIF(#REF!,"*済*")</formula>
    </cfRule>
    <cfRule type="expression" dxfId="364" priority="5">
      <formula>COUNTIF(#REF!,"*一部*")</formula>
    </cfRule>
    <cfRule type="expression" dxfId="363" priority="6">
      <formula>COUNTIF(#REF!,"*未*")</formula>
    </cfRule>
  </conditionalFormatting>
  <conditionalFormatting sqref="E7:H7">
    <cfRule type="expression" dxfId="362" priority="1">
      <formula>COUNTIF(#REF!,"*済*")</formula>
    </cfRule>
    <cfRule type="expression" dxfId="361" priority="2">
      <formula>COUNTIF(#REF!,"*一部*")</formula>
    </cfRule>
    <cfRule type="expression" dxfId="360" priority="3">
      <formula>COUNTIF(#REF!,"*未*")</formula>
    </cfRule>
  </conditionalFormatting>
  <conditionalFormatting sqref="E9:H10">
    <cfRule type="expression" dxfId="359" priority="19">
      <formula>COUNTIF(#REF!,"*済*")</formula>
    </cfRule>
    <cfRule type="expression" dxfId="358" priority="20">
      <formula>COUNTIF(#REF!,"*一部*")</formula>
    </cfRule>
    <cfRule type="expression" dxfId="357" priority="21">
      <formula>COUNTIF(#REF!,"*未*")</formula>
    </cfRule>
  </conditionalFormatting>
  <conditionalFormatting sqref="F11:F12 F14:F15">
    <cfRule type="expression" dxfId="356" priority="28">
      <formula>COUNTIF(#REF!,"*済*")</formula>
    </cfRule>
    <cfRule type="expression" dxfId="355" priority="29">
      <formula>COUNTIF(#REF!,"*一部*")</formula>
    </cfRule>
    <cfRule type="expression" dxfId="354" priority="30">
      <formula>COUNTIF(#REF!,"*未*")</formula>
    </cfRule>
    <cfRule type="expression" dxfId="353" priority="31">
      <formula>COUNTIF(#REF!,"*済*")</formula>
    </cfRule>
    <cfRule type="expression" dxfId="352" priority="32">
      <formula>COUNTIF(#REF!,"*一部*")</formula>
    </cfRule>
    <cfRule type="expression" dxfId="351" priority="33">
      <formula>COUNTIF(#REF!,"*未*")</formula>
    </cfRule>
  </conditionalFormatting>
  <conditionalFormatting sqref="H7 H9">
    <cfRule type="expression" dxfId="350" priority="15">
      <formula>COUNTIF(#REF!,"*未*")</formula>
    </cfRule>
    <cfRule type="expression" dxfId="349" priority="14">
      <formula>COUNTIF(#REF!,"*一部*")</formula>
    </cfRule>
  </conditionalFormatting>
  <conditionalFormatting sqref="H7 H9:H10">
    <cfRule type="expression" dxfId="348" priority="18">
      <formula>COUNTIF(#REF!,"*未*")</formula>
    </cfRule>
    <cfRule type="expression" dxfId="347" priority="17">
      <formula>COUNTIF(#REF!,"*一部*")</formula>
    </cfRule>
    <cfRule type="expression" dxfId="346" priority="16">
      <formula>COUNTIF(#REF!,"*済*")</formula>
    </cfRule>
  </conditionalFormatting>
  <conditionalFormatting sqref="H9 H7">
    <cfRule type="expression" dxfId="345" priority="13">
      <formula>COUNTIF(#REF!,"*済*")</formula>
    </cfRule>
  </conditionalFormatting>
  <conditionalFormatting sqref="H9:H10">
    <cfRule type="expression" dxfId="344" priority="10">
      <formula>COUNTIF(#REF!,"*済*")</formula>
    </cfRule>
    <cfRule type="expression" dxfId="343" priority="11">
      <formula>COUNTIF(#REF!,"*一部*")</formula>
    </cfRule>
    <cfRule type="expression" dxfId="342" priority="12">
      <formula>COUNTIF(#REF!,"*未*")</formula>
    </cfRule>
  </conditionalFormatting>
  <conditionalFormatting sqref="J7:K7">
    <cfRule type="expression" dxfId="341" priority="7">
      <formula>COUNTIF(#REF!,"*済*")</formula>
    </cfRule>
    <cfRule type="expression" dxfId="340" priority="8">
      <formula>COUNTIF(#REF!,"*一部*")</formula>
    </cfRule>
    <cfRule type="expression" dxfId="339" priority="9">
      <formula>COUNTIF(#REF!,"*未*")</formula>
    </cfRule>
  </conditionalFormatting>
  <conditionalFormatting sqref="J9:K10">
    <cfRule type="expression" dxfId="338" priority="34">
      <formula>COUNTIF(#REF!,"*済*")</formula>
    </cfRule>
    <cfRule type="expression" dxfId="337" priority="35">
      <formula>COUNTIF(#REF!,"*一部*")</formula>
    </cfRule>
    <cfRule type="expression" dxfId="336" priority="36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2FD8-B272-4466-B6F6-CDF3CE051A3F}">
  <sheetPr codeName="Sheet3">
    <pageSetUpPr fitToPage="1"/>
  </sheetPr>
  <dimension ref="A1:S22"/>
  <sheetViews>
    <sheetView zoomScale="110" zoomScaleNormal="110" workbookViewId="0">
      <pane xSplit="2" ySplit="3" topLeftCell="J5" activePane="bottomRight" state="frozen"/>
      <selection pane="topRight" activeCell="C1" sqref="C1"/>
      <selection pane="bottomLeft" activeCell="A4" sqref="A4"/>
      <selection pane="bottomRight" activeCell="M4" sqref="M4:M12"/>
    </sheetView>
  </sheetViews>
  <sheetFormatPr defaultRowHeight="13.2"/>
  <cols>
    <col min="1" max="1" width="9.77734375" customWidth="1"/>
    <col min="2" max="2" width="10.5546875" style="42" customWidth="1"/>
    <col min="3" max="3" width="10.77734375" style="1" customWidth="1"/>
    <col min="4" max="4" width="12.77734375" style="1" customWidth="1"/>
    <col min="5" max="5" width="10.777343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39.88671875" style="44" customWidth="1"/>
    <col min="11" max="12" width="10.77734375" style="1" customWidth="1"/>
    <col min="13" max="13" width="13.44140625" style="48" customWidth="1"/>
    <col min="14" max="14" width="6.5546875" style="48" customWidth="1"/>
    <col min="15" max="15" width="5.77734375" style="48" customWidth="1"/>
    <col min="16" max="16" width="13.44140625" style="48" customWidth="1"/>
    <col min="17" max="18" width="9.6640625" style="47" customWidth="1"/>
    <col min="19" max="19" width="13" style="47" customWidth="1"/>
  </cols>
  <sheetData>
    <row r="1" spans="1:19" ht="32.25" customHeight="1">
      <c r="A1" s="872" t="s">
        <v>95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369"/>
      <c r="O1" s="369"/>
    </row>
    <row r="2" spans="1:19" ht="20.25" customHeight="1">
      <c r="A2" s="873" t="s">
        <v>1</v>
      </c>
      <c r="B2" s="875" t="s">
        <v>2</v>
      </c>
      <c r="C2" s="876" t="s">
        <v>3</v>
      </c>
      <c r="D2" s="877"/>
      <c r="E2" s="877" t="s">
        <v>65</v>
      </c>
      <c r="F2" s="878"/>
      <c r="G2" s="879" t="s">
        <v>5</v>
      </c>
      <c r="H2" s="880" t="s">
        <v>31</v>
      </c>
      <c r="I2" s="881" t="s">
        <v>6</v>
      </c>
      <c r="J2" s="882" t="s">
        <v>7</v>
      </c>
      <c r="K2" s="889" t="s">
        <v>8</v>
      </c>
      <c r="L2" s="890" t="s">
        <v>9</v>
      </c>
      <c r="M2" s="218" t="s">
        <v>52</v>
      </c>
      <c r="N2" s="893" t="s">
        <v>121</v>
      </c>
      <c r="O2" s="861" t="s">
        <v>122</v>
      </c>
      <c r="P2" s="863" t="s">
        <v>51</v>
      </c>
      <c r="Q2" s="799" t="s">
        <v>50</v>
      </c>
      <c r="R2" s="799" t="s">
        <v>64</v>
      </c>
      <c r="S2" s="799" t="s">
        <v>35</v>
      </c>
    </row>
    <row r="3" spans="1:19" s="7" customFormat="1" ht="20.25" customHeight="1" thickBot="1">
      <c r="A3" s="874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219" t="s">
        <v>53</v>
      </c>
      <c r="N3" s="894"/>
      <c r="O3" s="861"/>
      <c r="P3" s="863"/>
      <c r="Q3" s="799"/>
      <c r="R3" s="799"/>
      <c r="S3" s="799"/>
    </row>
    <row r="4" spans="1:19" ht="25.5" customHeight="1" thickTop="1">
      <c r="A4" s="199">
        <v>46010</v>
      </c>
      <c r="B4" s="200" t="s">
        <v>13</v>
      </c>
      <c r="C4" s="168">
        <v>57735</v>
      </c>
      <c r="D4" s="11">
        <v>490748</v>
      </c>
      <c r="E4" s="11">
        <v>41006</v>
      </c>
      <c r="F4" s="12">
        <v>82012</v>
      </c>
      <c r="G4" s="13">
        <v>10000</v>
      </c>
      <c r="H4" s="13">
        <v>582760</v>
      </c>
      <c r="I4" s="20">
        <f>H4*1.1</f>
        <v>641036</v>
      </c>
      <c r="J4" s="191" t="s">
        <v>119</v>
      </c>
      <c r="K4" s="302">
        <v>14340</v>
      </c>
      <c r="L4" s="303">
        <v>3517</v>
      </c>
      <c r="M4" s="203">
        <v>265722</v>
      </c>
      <c r="N4" s="372">
        <f>F4/E4</f>
        <v>2</v>
      </c>
      <c r="O4" s="371"/>
      <c r="P4" s="96">
        <f>M4+L4+K4</f>
        <v>283579</v>
      </c>
      <c r="Q4" s="111">
        <f>(H4-P4)/H4</f>
        <v>0.51338629967739724</v>
      </c>
      <c r="R4" s="110"/>
      <c r="S4" s="3">
        <f>SUM(K4:M4)</f>
        <v>283579</v>
      </c>
    </row>
    <row r="5" spans="1:19" ht="25.5" customHeight="1">
      <c r="A5" s="201">
        <v>46017</v>
      </c>
      <c r="B5" s="202" t="s">
        <v>14</v>
      </c>
      <c r="C5" s="251">
        <v>70260</v>
      </c>
      <c r="D5" s="18">
        <v>597210</v>
      </c>
      <c r="E5" s="354">
        <v>237612</v>
      </c>
      <c r="F5" s="19">
        <v>494949</v>
      </c>
      <c r="G5" s="18">
        <v>10000</v>
      </c>
      <c r="H5" s="18">
        <f>D5+F5+G5</f>
        <v>1102159</v>
      </c>
      <c r="I5" s="20">
        <f>H5*1.1</f>
        <v>1212374.9000000001</v>
      </c>
      <c r="J5" s="359" t="s">
        <v>120</v>
      </c>
      <c r="K5" s="304">
        <v>10170</v>
      </c>
      <c r="L5" s="305">
        <v>3947</v>
      </c>
      <c r="M5" s="204">
        <v>320310</v>
      </c>
      <c r="N5" s="371">
        <f t="shared" ref="N5:N16" si="0">F5/E5</f>
        <v>2.0830134841674663</v>
      </c>
      <c r="O5" s="371"/>
      <c r="P5" s="96">
        <f>M5+L5+K5</f>
        <v>334427</v>
      </c>
      <c r="Q5" s="111">
        <f>(H5-P5)/H5</f>
        <v>0.69657100291337271</v>
      </c>
      <c r="R5" s="110"/>
      <c r="S5" s="3">
        <f>SUM(K5:M5)</f>
        <v>334427</v>
      </c>
    </row>
    <row r="6" spans="1:19" ht="11.4" customHeight="1">
      <c r="A6" s="201"/>
      <c r="B6" s="317"/>
      <c r="C6" s="171"/>
      <c r="D6" s="171"/>
      <c r="E6" s="171"/>
      <c r="F6" s="171"/>
      <c r="G6" s="171"/>
      <c r="H6" s="171"/>
      <c r="I6" s="355"/>
      <c r="J6" s="356"/>
      <c r="K6" s="318"/>
      <c r="L6" s="319"/>
      <c r="M6" s="320"/>
      <c r="N6" s="371"/>
      <c r="O6" s="371"/>
      <c r="P6" s="96"/>
      <c r="Q6" s="111"/>
      <c r="R6" s="110"/>
      <c r="S6" s="3"/>
    </row>
    <row r="7" spans="1:19" ht="25.5" customHeight="1">
      <c r="A7" s="855" t="s">
        <v>89</v>
      </c>
      <c r="B7" s="856"/>
      <c r="C7" s="185"/>
      <c r="D7" s="99"/>
      <c r="E7" s="117">
        <v>101660</v>
      </c>
      <c r="F7" s="121">
        <v>344164</v>
      </c>
      <c r="G7" s="122"/>
      <c r="H7" s="121">
        <v>344164</v>
      </c>
      <c r="I7" s="124">
        <f>H7*1.1</f>
        <v>378580.4</v>
      </c>
      <c r="J7" s="193"/>
      <c r="K7" s="125">
        <v>6820</v>
      </c>
      <c r="L7" s="125">
        <v>1272</v>
      </c>
      <c r="M7" s="207">
        <v>94228</v>
      </c>
      <c r="N7" s="371">
        <f t="shared" si="0"/>
        <v>3.3854416683061186</v>
      </c>
      <c r="O7" s="371"/>
      <c r="P7" s="96">
        <f>M7+L7+K7</f>
        <v>102320</v>
      </c>
      <c r="Q7" s="111">
        <f>(H7-P7)/H7</f>
        <v>0.70269987564068292</v>
      </c>
      <c r="R7" s="110"/>
      <c r="S7" s="3">
        <f>SUM(K7:M7)</f>
        <v>102320</v>
      </c>
    </row>
    <row r="8" spans="1:19" ht="25.5" customHeight="1">
      <c r="A8" s="904" t="s">
        <v>90</v>
      </c>
      <c r="B8" s="905"/>
      <c r="C8" s="172"/>
      <c r="D8" s="29"/>
      <c r="E8" s="128">
        <v>91090</v>
      </c>
      <c r="F8" s="129">
        <v>389069</v>
      </c>
      <c r="G8" s="130"/>
      <c r="H8" s="129">
        <v>389069</v>
      </c>
      <c r="I8" s="114">
        <f>H8*1.1</f>
        <v>427975.9</v>
      </c>
      <c r="J8" s="30"/>
      <c r="K8" s="132">
        <v>8520</v>
      </c>
      <c r="L8" s="132">
        <v>1494</v>
      </c>
      <c r="M8" s="208">
        <v>95850</v>
      </c>
      <c r="N8" s="371">
        <f t="shared" si="0"/>
        <v>4.2712591942035347</v>
      </c>
      <c r="O8" s="371"/>
      <c r="P8" s="96">
        <f>M8+L8+K8</f>
        <v>105864</v>
      </c>
      <c r="Q8" s="111">
        <f>(H8-P8)/H8</f>
        <v>0.72790430489193436</v>
      </c>
      <c r="R8" s="110"/>
      <c r="S8" s="3"/>
    </row>
    <row r="9" spans="1:19" ht="25.5" customHeight="1">
      <c r="A9" s="827" t="s">
        <v>91</v>
      </c>
      <c r="B9" s="906"/>
      <c r="C9" s="170"/>
      <c r="D9" s="31"/>
      <c r="E9" s="126">
        <v>82140</v>
      </c>
      <c r="F9" s="316">
        <v>277140</v>
      </c>
      <c r="G9" s="31"/>
      <c r="H9" s="118">
        <v>277140</v>
      </c>
      <c r="I9" s="119">
        <f>H9*1.1</f>
        <v>304854</v>
      </c>
      <c r="J9" s="33"/>
      <c r="K9" s="223">
        <v>4410</v>
      </c>
      <c r="L9" s="127">
        <v>821</v>
      </c>
      <c r="M9" s="209">
        <v>16027</v>
      </c>
      <c r="N9" s="371">
        <f t="shared" si="0"/>
        <v>3.3739956172388603</v>
      </c>
      <c r="O9" s="371"/>
      <c r="P9" s="96">
        <f>M9+L9+K9</f>
        <v>21258</v>
      </c>
      <c r="Q9" s="111">
        <f>(H9-P9)/H9</f>
        <v>0.92329508551634554</v>
      </c>
      <c r="R9" s="110"/>
      <c r="S9" s="3">
        <f>SUM(K9:M9)</f>
        <v>21258</v>
      </c>
    </row>
    <row r="10" spans="1:19" ht="11.4" customHeight="1">
      <c r="A10" s="201"/>
      <c r="B10" s="317"/>
      <c r="C10" s="171"/>
      <c r="D10" s="171"/>
      <c r="E10" s="171"/>
      <c r="F10" s="171"/>
      <c r="G10" s="171"/>
      <c r="H10" s="171"/>
      <c r="I10" s="20"/>
      <c r="J10" s="315"/>
      <c r="K10" s="318"/>
      <c r="L10" s="319"/>
      <c r="M10" s="320"/>
      <c r="N10" s="371"/>
      <c r="O10" s="371"/>
      <c r="P10" s="96"/>
      <c r="Q10" s="111"/>
      <c r="R10" s="110"/>
      <c r="S10" s="3"/>
    </row>
    <row r="11" spans="1:19" s="1" customFormat="1" ht="25.5" customHeight="1">
      <c r="A11" s="907" t="s">
        <v>17</v>
      </c>
      <c r="B11" s="909" t="s">
        <v>92</v>
      </c>
      <c r="C11" s="220">
        <v>6900</v>
      </c>
      <c r="D11" s="99">
        <v>69000</v>
      </c>
      <c r="E11" s="221">
        <v>30850</v>
      </c>
      <c r="F11" s="221">
        <v>46275</v>
      </c>
      <c r="G11" s="99"/>
      <c r="H11" s="99">
        <v>115275</v>
      </c>
      <c r="I11" s="124">
        <f>H11*1.1</f>
        <v>126802.50000000001</v>
      </c>
      <c r="J11" s="193" t="s">
        <v>87</v>
      </c>
      <c r="K11" s="902">
        <v>790</v>
      </c>
      <c r="L11" s="911"/>
      <c r="M11" s="913">
        <v>110900</v>
      </c>
      <c r="N11" s="371">
        <f t="shared" si="0"/>
        <v>1.5</v>
      </c>
      <c r="O11" s="371"/>
      <c r="P11" s="96">
        <f t="shared" ref="P11:P16" si="1">M11+L11+K11</f>
        <v>111690</v>
      </c>
      <c r="Q11" s="111">
        <f>(H11-P11)/H11</f>
        <v>3.1099544567338971E-2</v>
      </c>
      <c r="R11" s="110"/>
      <c r="S11" s="57"/>
    </row>
    <row r="12" spans="1:19" s="1" customFormat="1" ht="25.5" customHeight="1">
      <c r="A12" s="908"/>
      <c r="B12" s="910"/>
      <c r="C12" s="186">
        <v>8100</v>
      </c>
      <c r="D12" s="222">
        <v>81000</v>
      </c>
      <c r="E12" s="85">
        <v>29700</v>
      </c>
      <c r="F12" s="85">
        <v>44550</v>
      </c>
      <c r="G12" s="100"/>
      <c r="H12" s="31">
        <v>125550</v>
      </c>
      <c r="I12" s="137">
        <f>H12*1.1</f>
        <v>138105</v>
      </c>
      <c r="J12" s="33" t="s">
        <v>34</v>
      </c>
      <c r="K12" s="903"/>
      <c r="L12" s="912"/>
      <c r="M12" s="914"/>
      <c r="N12" s="371">
        <f t="shared" si="0"/>
        <v>1.5</v>
      </c>
      <c r="O12" s="371"/>
      <c r="P12" s="96">
        <f t="shared" si="1"/>
        <v>0</v>
      </c>
      <c r="Q12" s="111">
        <f>(H12-P12)/H12</f>
        <v>1</v>
      </c>
      <c r="R12" s="110"/>
      <c r="S12" s="58" t="e">
        <f>SUM(#REF!)</f>
        <v>#REF!</v>
      </c>
    </row>
    <row r="13" spans="1:19" s="1" customFormat="1" ht="11.4" customHeight="1">
      <c r="A13" s="201"/>
      <c r="B13" s="317"/>
      <c r="C13" s="171"/>
      <c r="D13" s="171"/>
      <c r="E13" s="171"/>
      <c r="F13" s="171"/>
      <c r="G13" s="171"/>
      <c r="H13" s="171"/>
      <c r="I13" s="20"/>
      <c r="J13" s="315"/>
      <c r="K13" s="318"/>
      <c r="L13" s="319"/>
      <c r="M13" s="320"/>
      <c r="N13" s="371"/>
      <c r="O13" s="371"/>
      <c r="P13" s="96">
        <f t="shared" si="1"/>
        <v>0</v>
      </c>
      <c r="Q13" s="111"/>
      <c r="R13" s="110"/>
      <c r="S13" s="58"/>
    </row>
    <row r="14" spans="1:19" s="1" customFormat="1" ht="28.05" customHeight="1">
      <c r="A14" s="852" t="s">
        <v>93</v>
      </c>
      <c r="B14" s="224" t="s">
        <v>28</v>
      </c>
      <c r="C14" s="187">
        <v>127995</v>
      </c>
      <c r="D14" s="87">
        <v>1087958</v>
      </c>
      <c r="E14" s="87">
        <v>278618</v>
      </c>
      <c r="F14" s="87">
        <v>576961</v>
      </c>
      <c r="G14" s="87">
        <v>20000</v>
      </c>
      <c r="H14" s="87">
        <v>1684919</v>
      </c>
      <c r="I14" s="225">
        <v>1853411</v>
      </c>
      <c r="J14" s="226" t="s">
        <v>29</v>
      </c>
      <c r="K14" s="245">
        <v>24510</v>
      </c>
      <c r="L14" s="245">
        <v>7464</v>
      </c>
      <c r="M14" s="245">
        <v>586032</v>
      </c>
      <c r="N14" s="371">
        <f t="shared" si="0"/>
        <v>2.0707958566926759</v>
      </c>
      <c r="O14" s="371">
        <f>(H14-G14)/C14</f>
        <v>13.0076878003047</v>
      </c>
      <c r="P14" s="96">
        <f t="shared" si="1"/>
        <v>618006</v>
      </c>
      <c r="Q14" s="111">
        <f>(H14-P14)/H14</f>
        <v>0.63321322864778662</v>
      </c>
      <c r="R14" s="111">
        <f>P14/H14</f>
        <v>0.36678677135221338</v>
      </c>
      <c r="S14" s="47"/>
    </row>
    <row r="15" spans="1:19" s="1" customFormat="1" ht="28.05" customHeight="1">
      <c r="A15" s="853"/>
      <c r="B15" s="853" t="s">
        <v>5</v>
      </c>
      <c r="C15" s="188"/>
      <c r="D15" s="90"/>
      <c r="E15" s="90">
        <v>274890</v>
      </c>
      <c r="F15" s="90">
        <v>1010373</v>
      </c>
      <c r="G15" s="90"/>
      <c r="H15" s="90">
        <v>1010373</v>
      </c>
      <c r="I15" s="213">
        <v>1111410</v>
      </c>
      <c r="J15" s="214" t="s">
        <v>30</v>
      </c>
      <c r="K15" s="247">
        <f>SUM(K7:K9)</f>
        <v>19750</v>
      </c>
      <c r="L15" s="247">
        <f t="shared" ref="L15" si="2">SUM(L7:L9)</f>
        <v>3587</v>
      </c>
      <c r="M15" s="247">
        <f t="shared" ref="M15" si="3">SUM(M7:M9)</f>
        <v>206105</v>
      </c>
      <c r="N15" s="371">
        <f t="shared" si="0"/>
        <v>3.6755538579067992</v>
      </c>
      <c r="O15" s="373"/>
      <c r="P15" s="96">
        <f t="shared" si="1"/>
        <v>229442</v>
      </c>
      <c r="Q15" s="111">
        <f>(H15-P15)/H15</f>
        <v>0.77291356756366214</v>
      </c>
      <c r="R15" s="111">
        <f>P15/H15</f>
        <v>0.22708643243633786</v>
      </c>
      <c r="S15" s="47"/>
    </row>
    <row r="16" spans="1:19" s="1" customFormat="1" ht="28.05" customHeight="1" thickBot="1">
      <c r="A16" s="853"/>
      <c r="B16" s="792"/>
      <c r="C16" s="309">
        <v>15000</v>
      </c>
      <c r="D16" s="38">
        <v>150000</v>
      </c>
      <c r="E16" s="38">
        <v>60550</v>
      </c>
      <c r="F16" s="38">
        <v>90825</v>
      </c>
      <c r="G16" s="38"/>
      <c r="H16" s="38">
        <v>240825</v>
      </c>
      <c r="I16" s="216">
        <v>264908</v>
      </c>
      <c r="J16" s="217" t="s">
        <v>94</v>
      </c>
      <c r="K16" s="248">
        <v>790</v>
      </c>
      <c r="L16" s="310"/>
      <c r="M16" s="79">
        <v>110900</v>
      </c>
      <c r="N16" s="371">
        <f t="shared" si="0"/>
        <v>1.5</v>
      </c>
      <c r="O16" s="371">
        <f>(H16-G16)/C16</f>
        <v>16.055</v>
      </c>
      <c r="P16" s="96">
        <f t="shared" si="1"/>
        <v>111690</v>
      </c>
      <c r="Q16" s="111">
        <f>(H16-P16)/H16</f>
        <v>0.53621924634070384</v>
      </c>
      <c r="R16" s="111">
        <f>P16/H16</f>
        <v>0.46378075365929616</v>
      </c>
      <c r="S16" s="47"/>
    </row>
    <row r="17" spans="1:19" s="1" customFormat="1" ht="28.05" customHeight="1" thickTop="1">
      <c r="A17" s="854"/>
      <c r="B17" s="227" t="s">
        <v>19</v>
      </c>
      <c r="C17" s="190">
        <f>SUM(C14:C16)</f>
        <v>142995</v>
      </c>
      <c r="D17" s="190">
        <f t="shared" ref="D17:G17" si="4">SUM(D14:D16)</f>
        <v>1237958</v>
      </c>
      <c r="E17" s="190">
        <f t="shared" si="4"/>
        <v>614058</v>
      </c>
      <c r="F17" s="190">
        <f t="shared" si="4"/>
        <v>1678159</v>
      </c>
      <c r="G17" s="190">
        <f t="shared" si="4"/>
        <v>20000</v>
      </c>
      <c r="H17" s="80">
        <f>SUM(H14:H16)</f>
        <v>2936117</v>
      </c>
      <c r="I17" s="80">
        <f>SUM(I14:I16)</f>
        <v>3229729</v>
      </c>
      <c r="J17" s="194"/>
      <c r="K17" s="80">
        <f>SUM(K14:K16)</f>
        <v>45050</v>
      </c>
      <c r="L17" s="80">
        <f>SUM(L14:L16)</f>
        <v>11051</v>
      </c>
      <c r="M17" s="80">
        <f>SUM(M14:M16)</f>
        <v>903037</v>
      </c>
      <c r="N17" s="357"/>
      <c r="O17" s="357"/>
      <c r="P17" s="97">
        <v>1735129</v>
      </c>
      <c r="Q17" s="111">
        <f>(H17-P17)/H17</f>
        <v>0.40903955802851183</v>
      </c>
      <c r="R17" s="111">
        <f>P17/H17</f>
        <v>0.59096044197148823</v>
      </c>
      <c r="S17" s="47"/>
    </row>
    <row r="18" spans="1:19" s="1" customFormat="1" ht="33" customHeight="1">
      <c r="A18"/>
      <c r="B18" s="40" t="s">
        <v>20</v>
      </c>
      <c r="D18" s="1" t="s">
        <v>118</v>
      </c>
      <c r="I18" s="41"/>
      <c r="J18" s="44"/>
      <c r="M18" s="48">
        <v>2300000</v>
      </c>
      <c r="N18" s="48"/>
      <c r="O18" s="48"/>
      <c r="P18" s="48"/>
      <c r="Q18" s="47"/>
      <c r="R18" s="47"/>
      <c r="S18" s="47"/>
    </row>
    <row r="22" spans="1:19">
      <c r="J22" s="150"/>
    </row>
  </sheetData>
  <mergeCells count="27"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  <mergeCell ref="P2:P3"/>
    <mergeCell ref="Q2:Q3"/>
    <mergeCell ref="R2:R3"/>
    <mergeCell ref="S2:S3"/>
    <mergeCell ref="L11:L12"/>
    <mergeCell ref="M11:M12"/>
    <mergeCell ref="N2:N3"/>
    <mergeCell ref="O2:O3"/>
    <mergeCell ref="K11:K12"/>
    <mergeCell ref="A14:A17"/>
    <mergeCell ref="B15:B16"/>
    <mergeCell ref="A7:B7"/>
    <mergeCell ref="A8:B8"/>
    <mergeCell ref="A9:B9"/>
    <mergeCell ref="A11:A12"/>
    <mergeCell ref="B11:B12"/>
  </mergeCells>
  <phoneticPr fontId="3"/>
  <conditionalFormatting sqref="E9:F9 J9 C11:C12 E11:F12 J11:J12">
    <cfRule type="expression" dxfId="335" priority="10">
      <formula>COUNTIF(#REF!,"*済*")</formula>
    </cfRule>
    <cfRule type="expression" dxfId="334" priority="11">
      <formula>COUNTIF(#REF!,"*一部*")</formula>
    </cfRule>
    <cfRule type="expression" dxfId="333" priority="12">
      <formula>COUNTIF(#REF!,"*未*")</formula>
    </cfRule>
  </conditionalFormatting>
  <conditionalFormatting sqref="E7:G8 J7:K8">
    <cfRule type="expression" dxfId="332" priority="13">
      <formula>COUNTIF(#REF!,"*済*")</formula>
    </cfRule>
    <cfRule type="expression" dxfId="331" priority="14">
      <formula>COUNTIF(#REF!,"*一部*")</formula>
    </cfRule>
    <cfRule type="expression" dxfId="330" priority="15">
      <formula>COUNTIF(#REF!,"*未*")</formula>
    </cfRule>
  </conditionalFormatting>
  <conditionalFormatting sqref="E7:H8">
    <cfRule type="expression" dxfId="329" priority="7">
      <formula>COUNTIF(#REF!,"*済*")</formula>
    </cfRule>
    <cfRule type="expression" dxfId="328" priority="8">
      <formula>COUNTIF(#REF!,"*一部*")</formula>
    </cfRule>
    <cfRule type="expression" dxfId="327" priority="9">
      <formula>COUNTIF(#REF!,"*未*")</formula>
    </cfRule>
  </conditionalFormatting>
  <conditionalFormatting sqref="F9 F11:F12">
    <cfRule type="expression" dxfId="326" priority="16">
      <formula>COUNTIF(#REF!,"*済*")</formula>
    </cfRule>
    <cfRule type="expression" dxfId="325" priority="17">
      <formula>COUNTIF(#REF!,"*一部*")</formula>
    </cfRule>
    <cfRule type="expression" dxfId="324" priority="18">
      <formula>COUNTIF(#REF!,"*未*")</formula>
    </cfRule>
    <cfRule type="expression" dxfId="323" priority="19">
      <formula>COUNTIF(#REF!,"*済*")</formula>
    </cfRule>
    <cfRule type="expression" dxfId="322" priority="20">
      <formula>COUNTIF(#REF!,"*一部*")</formula>
    </cfRule>
    <cfRule type="expression" dxfId="321" priority="21">
      <formula>COUNTIF(#REF!,"*未*")</formula>
    </cfRule>
  </conditionalFormatting>
  <conditionalFormatting sqref="H7">
    <cfRule type="expression" dxfId="320" priority="1">
      <formula>COUNTIF(#REF!,"*済*")</formula>
    </cfRule>
    <cfRule type="expression" dxfId="319" priority="2">
      <formula>COUNTIF(#REF!,"*一部*")</formula>
    </cfRule>
    <cfRule type="expression" dxfId="318" priority="3">
      <formula>COUNTIF(#REF!,"*未*")</formula>
    </cfRule>
  </conditionalFormatting>
  <conditionalFormatting sqref="H7:H8">
    <cfRule type="expression" dxfId="317" priority="4">
      <formula>COUNTIF(#REF!,"*済*")</formula>
    </cfRule>
    <cfRule type="expression" dxfId="316" priority="5">
      <formula>COUNTIF(#REF!,"*一部*")</formula>
    </cfRule>
    <cfRule type="expression" dxfId="315" priority="6">
      <formula>COUNTIF(#REF!,"*未*")</formula>
    </cfRule>
  </conditionalFormatting>
  <conditionalFormatting sqref="J7:K8">
    <cfRule type="expression" dxfId="314" priority="22">
      <formula>COUNTIF(#REF!,"*済*")</formula>
    </cfRule>
    <cfRule type="expression" dxfId="313" priority="23">
      <formula>COUNTIF(#REF!,"*一部*")</formula>
    </cfRule>
    <cfRule type="expression" dxfId="312" priority="24">
      <formula>COUNTIF(#REF!,"*未*")</formula>
    </cfRule>
  </conditionalFormatting>
  <printOptions horizontalCentered="1"/>
  <pageMargins left="0" right="0" top="0.74803149606299213" bottom="0" header="0.31496062992125984" footer="0"/>
  <pageSetup paperSize="9" scale="8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4AFD-9DEC-474A-A0A9-8AF2FE54FF4E}">
  <sheetPr codeName="Sheet4">
    <pageSetUpPr fitToPage="1"/>
  </sheetPr>
  <dimension ref="A1:V40"/>
  <sheetViews>
    <sheetView zoomScale="110" zoomScaleNormal="110" workbookViewId="0">
      <pane xSplit="2" ySplit="3" topLeftCell="J10" activePane="bottomRight" state="frozen"/>
      <selection pane="topRight" activeCell="C1" sqref="C1"/>
      <selection pane="bottomLeft" activeCell="A4" sqref="A4"/>
      <selection pane="bottomRight" activeCell="M4" sqref="M4"/>
    </sheetView>
  </sheetViews>
  <sheetFormatPr defaultRowHeight="13.2"/>
  <cols>
    <col min="1" max="1" width="9.77734375" customWidth="1"/>
    <col min="2" max="2" width="10.5546875" style="42" customWidth="1"/>
    <col min="3" max="3" width="10.77734375" style="1" customWidth="1"/>
    <col min="4" max="4" width="12.77734375" style="1" customWidth="1"/>
    <col min="5" max="5" width="10.77734375" style="1" customWidth="1"/>
    <col min="6" max="6" width="12.7773437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39.88671875" style="44" customWidth="1"/>
    <col min="11" max="12" width="10.77734375" style="1" customWidth="1"/>
    <col min="13" max="13" width="13.44140625" style="48" customWidth="1"/>
    <col min="14" max="14" width="9.5546875" style="106" bestFit="1" customWidth="1"/>
    <col min="15" max="15" width="13.44140625" style="48" customWidth="1"/>
    <col min="16" max="16" width="11.88671875" style="47" customWidth="1"/>
    <col min="17" max="17" width="9.6640625" style="47" customWidth="1"/>
    <col min="18" max="18" width="13" style="47" customWidth="1"/>
    <col min="19" max="19" width="11.33203125" style="48" customWidth="1"/>
    <col min="20" max="20" width="9.109375" style="50" bestFit="1" customWidth="1"/>
    <col min="21" max="21" width="8.88671875" style="1"/>
    <col min="22" max="22" width="13.33203125" style="53" bestFit="1" customWidth="1"/>
  </cols>
  <sheetData>
    <row r="1" spans="1:22" ht="32.25" customHeight="1">
      <c r="A1" s="872" t="s">
        <v>55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98"/>
    </row>
    <row r="2" spans="1:22" ht="20.25" customHeight="1">
      <c r="A2" s="873" t="s">
        <v>1</v>
      </c>
      <c r="B2" s="875" t="s">
        <v>2</v>
      </c>
      <c r="C2" s="876" t="s">
        <v>3</v>
      </c>
      <c r="D2" s="877"/>
      <c r="E2" s="877" t="s">
        <v>65</v>
      </c>
      <c r="F2" s="878"/>
      <c r="G2" s="879" t="s">
        <v>5</v>
      </c>
      <c r="H2" s="880" t="s">
        <v>31</v>
      </c>
      <c r="I2" s="881" t="s">
        <v>6</v>
      </c>
      <c r="J2" s="882" t="s">
        <v>7</v>
      </c>
      <c r="K2" s="889" t="s">
        <v>8</v>
      </c>
      <c r="L2" s="890" t="s">
        <v>9</v>
      </c>
      <c r="M2" s="218" t="s">
        <v>52</v>
      </c>
      <c r="N2" s="923" t="s">
        <v>125</v>
      </c>
      <c r="O2" s="863" t="s">
        <v>51</v>
      </c>
      <c r="P2" s="799" t="s">
        <v>50</v>
      </c>
      <c r="Q2" s="799" t="s">
        <v>64</v>
      </c>
      <c r="R2" s="799" t="s">
        <v>35</v>
      </c>
      <c r="S2" s="48" t="s">
        <v>36</v>
      </c>
      <c r="T2" s="50" t="s">
        <v>37</v>
      </c>
      <c r="U2" s="52" t="s">
        <v>38</v>
      </c>
    </row>
    <row r="3" spans="1:22" s="7" customFormat="1" ht="20.25" customHeight="1" thickBot="1">
      <c r="A3" s="874"/>
      <c r="B3" s="810"/>
      <c r="C3" s="184" t="s">
        <v>11</v>
      </c>
      <c r="D3" s="4" t="s">
        <v>12</v>
      </c>
      <c r="E3" s="4" t="s">
        <v>11</v>
      </c>
      <c r="F3" s="5" t="s">
        <v>12</v>
      </c>
      <c r="G3" s="813"/>
      <c r="H3" s="815"/>
      <c r="I3" s="817"/>
      <c r="J3" s="819"/>
      <c r="K3" s="821"/>
      <c r="L3" s="823"/>
      <c r="M3" s="219" t="s">
        <v>53</v>
      </c>
      <c r="N3" s="923"/>
      <c r="O3" s="863"/>
      <c r="P3" s="799"/>
      <c r="Q3" s="799"/>
      <c r="R3" s="799"/>
      <c r="S3" s="49"/>
      <c r="T3" s="51"/>
      <c r="U3" s="6"/>
      <c r="V3" s="54"/>
    </row>
    <row r="4" spans="1:22" ht="25.5" customHeight="1" thickTop="1">
      <c r="A4" s="327">
        <v>45982</v>
      </c>
      <c r="B4" s="328" t="s">
        <v>13</v>
      </c>
      <c r="C4" s="329">
        <v>57735</v>
      </c>
      <c r="D4" s="13">
        <f>C4*8.5</f>
        <v>490747.5</v>
      </c>
      <c r="E4" s="13">
        <v>72948</v>
      </c>
      <c r="F4" s="330">
        <v>165391</v>
      </c>
      <c r="G4" s="13">
        <v>10000</v>
      </c>
      <c r="H4" s="13">
        <v>666139</v>
      </c>
      <c r="I4" s="331">
        <f>H4*1.1</f>
        <v>732752.9</v>
      </c>
      <c r="J4" s="342" t="s">
        <v>123</v>
      </c>
      <c r="K4" s="332">
        <v>13540</v>
      </c>
      <c r="L4" s="303">
        <v>3421</v>
      </c>
      <c r="M4" s="203">
        <v>288709</v>
      </c>
      <c r="N4" s="103">
        <f>F4/E4</f>
        <v>2.2672451609365574</v>
      </c>
      <c r="O4" s="96">
        <f>K4+L4+M4</f>
        <v>305670</v>
      </c>
      <c r="P4" s="110"/>
      <c r="Q4" s="110"/>
      <c r="R4" s="3">
        <f>SUM(K4:M4)</f>
        <v>305670</v>
      </c>
      <c r="S4" s="3">
        <f t="shared" ref="S4:S5" si="0">I4-M4</f>
        <v>444043.9</v>
      </c>
      <c r="V4" s="53">
        <f t="shared" ref="V4:V5" si="1">(K4+L4+M4)/I4</f>
        <v>0.41715290379608183</v>
      </c>
    </row>
    <row r="5" spans="1:22" ht="25.05" customHeight="1">
      <c r="A5" s="201">
        <v>45989</v>
      </c>
      <c r="B5" s="202" t="s">
        <v>14</v>
      </c>
      <c r="C5" s="251">
        <v>69756</v>
      </c>
      <c r="D5" s="18">
        <f>C5*8.5</f>
        <v>592926</v>
      </c>
      <c r="E5" s="18">
        <v>416753</v>
      </c>
      <c r="F5" s="19">
        <v>861283</v>
      </c>
      <c r="G5" s="18">
        <v>5000</v>
      </c>
      <c r="H5" s="18">
        <v>1459209</v>
      </c>
      <c r="I5" s="20">
        <v>1605130</v>
      </c>
      <c r="J5" s="374" t="s">
        <v>124</v>
      </c>
      <c r="K5" s="333">
        <v>12687</v>
      </c>
      <c r="L5" s="305">
        <v>10370</v>
      </c>
      <c r="M5" s="204">
        <v>325539</v>
      </c>
      <c r="N5" s="103">
        <f>F5/E5</f>
        <v>2.0666509899148897</v>
      </c>
      <c r="O5" s="96">
        <f t="shared" ref="O5:O16" si="2">K5+L5+M5</f>
        <v>348596</v>
      </c>
      <c r="P5" s="110"/>
      <c r="Q5" s="110"/>
      <c r="R5" s="3">
        <f>SUM(K5:M5)</f>
        <v>348596</v>
      </c>
      <c r="S5" s="3">
        <f t="shared" si="0"/>
        <v>1279591</v>
      </c>
      <c r="U5" s="1">
        <v>391088</v>
      </c>
      <c r="V5" s="53">
        <f t="shared" si="1"/>
        <v>0.2171761788764773</v>
      </c>
    </row>
    <row r="6" spans="1:22" ht="8.4" customHeight="1">
      <c r="A6" s="240"/>
      <c r="B6" s="321"/>
      <c r="C6" s="322"/>
      <c r="D6" s="322"/>
      <c r="E6" s="322"/>
      <c r="F6" s="322"/>
      <c r="G6" s="322"/>
      <c r="H6" s="322"/>
      <c r="I6" s="136"/>
      <c r="J6" s="343"/>
      <c r="K6" s="323"/>
      <c r="L6" s="323"/>
      <c r="M6" s="324"/>
      <c r="N6" s="103"/>
      <c r="O6" s="96"/>
      <c r="P6" s="111"/>
      <c r="Q6" s="110"/>
      <c r="R6" s="3"/>
      <c r="S6" s="3"/>
    </row>
    <row r="7" spans="1:22" ht="22.05" customHeight="1">
      <c r="A7" s="835" t="s">
        <v>59</v>
      </c>
      <c r="B7" s="915"/>
      <c r="C7" s="312"/>
      <c r="D7" s="313"/>
      <c r="E7" s="312">
        <v>17200</v>
      </c>
      <c r="F7" s="313">
        <v>51600</v>
      </c>
      <c r="G7" s="314"/>
      <c r="H7" s="18">
        <v>51600</v>
      </c>
      <c r="I7" s="136">
        <f>H7*1.1</f>
        <v>56760.000000000007</v>
      </c>
      <c r="J7" s="344"/>
      <c r="K7" s="334"/>
      <c r="L7" s="325">
        <v>232</v>
      </c>
      <c r="M7" s="326">
        <v>11200</v>
      </c>
      <c r="N7" s="103">
        <f>F7/E7</f>
        <v>3</v>
      </c>
      <c r="O7" s="96">
        <f t="shared" si="2"/>
        <v>11432</v>
      </c>
      <c r="P7" s="110"/>
      <c r="Q7" s="110"/>
      <c r="R7" s="3"/>
      <c r="S7" s="3"/>
    </row>
    <row r="8" spans="1:22" ht="8.4" customHeight="1">
      <c r="A8" s="240"/>
      <c r="B8" s="321"/>
      <c r="C8" s="322"/>
      <c r="D8" s="322"/>
      <c r="E8" s="322"/>
      <c r="F8" s="322"/>
      <c r="G8" s="322"/>
      <c r="H8" s="322"/>
      <c r="I8" s="136"/>
      <c r="J8" s="343"/>
      <c r="K8" s="323"/>
      <c r="L8" s="323"/>
      <c r="M8" s="324"/>
      <c r="N8" s="103"/>
      <c r="O8" s="96"/>
      <c r="P8" s="111"/>
      <c r="Q8" s="110"/>
      <c r="R8" s="3"/>
      <c r="S8" s="3"/>
    </row>
    <row r="9" spans="1:22" ht="22.05" customHeight="1">
      <c r="A9" s="921" t="s">
        <v>60</v>
      </c>
      <c r="B9" s="922"/>
      <c r="C9" s="185"/>
      <c r="D9" s="99"/>
      <c r="E9" s="117">
        <v>37160</v>
      </c>
      <c r="F9" s="121">
        <v>63172</v>
      </c>
      <c r="G9" s="122"/>
      <c r="H9" s="121">
        <v>63172</v>
      </c>
      <c r="I9" s="124">
        <f>H9*1.1</f>
        <v>69489.200000000012</v>
      </c>
      <c r="J9" s="345"/>
      <c r="K9" s="335"/>
      <c r="L9" s="125"/>
      <c r="M9" s="207">
        <v>0</v>
      </c>
      <c r="N9" s="103">
        <f>F9/E9</f>
        <v>1.7</v>
      </c>
      <c r="O9" s="96">
        <f t="shared" si="2"/>
        <v>0</v>
      </c>
      <c r="P9" s="110"/>
      <c r="Q9" s="110"/>
      <c r="R9" s="3">
        <f t="shared" ref="R9:R11" si="3">SUM(K9:M9)</f>
        <v>0</v>
      </c>
      <c r="S9" s="3">
        <f t="shared" ref="S9:S11" si="4">I9-M9</f>
        <v>69489.200000000012</v>
      </c>
      <c r="V9" s="53">
        <f>(K9+L9+M9)/I9</f>
        <v>0</v>
      </c>
    </row>
    <row r="10" spans="1:22" ht="22.05" customHeight="1">
      <c r="A10" s="904" t="s">
        <v>61</v>
      </c>
      <c r="B10" s="905"/>
      <c r="C10" s="172"/>
      <c r="D10" s="29"/>
      <c r="E10" s="128">
        <v>100400</v>
      </c>
      <c r="F10" s="129">
        <v>237340</v>
      </c>
      <c r="G10" s="130"/>
      <c r="H10" s="129">
        <v>237340</v>
      </c>
      <c r="I10" s="114">
        <f>H10*1.1</f>
        <v>261074.00000000003</v>
      </c>
      <c r="J10" s="346"/>
      <c r="K10" s="336">
        <v>886</v>
      </c>
      <c r="L10" s="132">
        <v>4980</v>
      </c>
      <c r="M10" s="208">
        <v>34170</v>
      </c>
      <c r="N10" s="103">
        <f>F10/E10</f>
        <v>2.3639442231075698</v>
      </c>
      <c r="O10" s="96">
        <f t="shared" si="2"/>
        <v>40036</v>
      </c>
      <c r="P10" s="110"/>
      <c r="Q10" s="110"/>
      <c r="R10" s="3"/>
      <c r="S10" s="3"/>
      <c r="V10" s="53">
        <f t="shared" ref="V10" si="5">(K10+L10+M10)/I10</f>
        <v>0.15335115714318545</v>
      </c>
    </row>
    <row r="11" spans="1:22" ht="22.05" customHeight="1">
      <c r="A11" s="827" t="s">
        <v>62</v>
      </c>
      <c r="B11" s="906"/>
      <c r="C11" s="170"/>
      <c r="D11" s="31"/>
      <c r="E11" s="126">
        <v>62200</v>
      </c>
      <c r="F11" s="316">
        <v>223062</v>
      </c>
      <c r="G11" s="31"/>
      <c r="H11" s="118">
        <v>223062</v>
      </c>
      <c r="I11" s="119">
        <f>H11*1.1</f>
        <v>245368.2</v>
      </c>
      <c r="J11" s="347"/>
      <c r="K11" s="337">
        <v>3320</v>
      </c>
      <c r="L11" s="127">
        <v>606</v>
      </c>
      <c r="M11" s="209">
        <v>9080</v>
      </c>
      <c r="N11" s="103">
        <f>F11/E11</f>
        <v>3.5862057877813505</v>
      </c>
      <c r="O11" s="96">
        <f t="shared" si="2"/>
        <v>13006</v>
      </c>
      <c r="P11" s="110"/>
      <c r="Q11" s="110"/>
      <c r="R11" s="3">
        <f t="shared" si="3"/>
        <v>13006</v>
      </c>
      <c r="S11" s="3">
        <f t="shared" si="4"/>
        <v>236288.2</v>
      </c>
      <c r="V11" s="53" t="e">
        <f>(#REF!+L11+M11)/I11</f>
        <v>#REF!</v>
      </c>
    </row>
    <row r="12" spans="1:22" ht="8.4" customHeight="1">
      <c r="A12" s="240"/>
      <c r="B12" s="321"/>
      <c r="C12" s="322"/>
      <c r="D12" s="322"/>
      <c r="E12" s="322"/>
      <c r="F12" s="322"/>
      <c r="G12" s="322"/>
      <c r="H12" s="322"/>
      <c r="I12" s="136"/>
      <c r="J12" s="343"/>
      <c r="K12" s="323"/>
      <c r="L12" s="323"/>
      <c r="M12" s="324"/>
      <c r="N12" s="103"/>
      <c r="O12" s="96"/>
      <c r="P12" s="111"/>
      <c r="Q12" s="110"/>
      <c r="R12" s="3"/>
      <c r="S12" s="3"/>
    </row>
    <row r="13" spans="1:22" s="1" customFormat="1" ht="22.05" customHeight="1">
      <c r="A13" s="907" t="s">
        <v>17</v>
      </c>
      <c r="B13" s="909" t="s">
        <v>56</v>
      </c>
      <c r="C13" s="220">
        <v>7900</v>
      </c>
      <c r="D13" s="99">
        <v>79000</v>
      </c>
      <c r="E13" s="221">
        <v>37350</v>
      </c>
      <c r="F13" s="221">
        <v>56025</v>
      </c>
      <c r="G13" s="99"/>
      <c r="H13" s="99">
        <v>135025</v>
      </c>
      <c r="I13" s="124">
        <v>148527.5</v>
      </c>
      <c r="J13" s="345" t="s">
        <v>87</v>
      </c>
      <c r="K13" s="916">
        <v>290</v>
      </c>
      <c r="L13" s="911"/>
      <c r="M13" s="913">
        <v>118800</v>
      </c>
      <c r="N13" s="103">
        <f>F13/E13</f>
        <v>1.5</v>
      </c>
      <c r="O13" s="96">
        <f t="shared" si="2"/>
        <v>119090</v>
      </c>
      <c r="P13" s="110"/>
      <c r="Q13" s="110"/>
      <c r="R13" s="57"/>
      <c r="S13" s="48"/>
      <c r="T13" s="50"/>
      <c r="V13" s="55"/>
    </row>
    <row r="14" spans="1:22" s="1" customFormat="1" ht="22.05" customHeight="1">
      <c r="A14" s="908"/>
      <c r="B14" s="910"/>
      <c r="C14" s="186">
        <v>8100</v>
      </c>
      <c r="D14" s="222">
        <v>81000</v>
      </c>
      <c r="E14" s="85">
        <v>39900</v>
      </c>
      <c r="F14" s="85">
        <v>59850</v>
      </c>
      <c r="G14" s="100"/>
      <c r="H14" s="31">
        <v>140850</v>
      </c>
      <c r="I14" s="137">
        <v>154935</v>
      </c>
      <c r="J14" s="347" t="s">
        <v>34</v>
      </c>
      <c r="K14" s="917"/>
      <c r="L14" s="912"/>
      <c r="M14" s="914"/>
      <c r="N14" s="103">
        <f>F14/E14</f>
        <v>1.5</v>
      </c>
      <c r="O14" s="96">
        <f t="shared" si="2"/>
        <v>0</v>
      </c>
      <c r="P14" s="110"/>
      <c r="Q14" s="110"/>
      <c r="R14" s="58">
        <f>SUM(M13:M14)</f>
        <v>118800</v>
      </c>
      <c r="S14" s="48"/>
      <c r="T14" s="50"/>
      <c r="V14" s="55">
        <f>R14/(I13+I14)</f>
        <v>0.39148164929768919</v>
      </c>
    </row>
    <row r="15" spans="1:22" ht="8.4" customHeight="1">
      <c r="A15" s="240"/>
      <c r="B15" s="321"/>
      <c r="C15" s="322"/>
      <c r="D15" s="322"/>
      <c r="E15" s="322"/>
      <c r="F15" s="322"/>
      <c r="G15" s="322"/>
      <c r="H15" s="322"/>
      <c r="I15" s="136"/>
      <c r="J15" s="343"/>
      <c r="K15" s="318"/>
      <c r="L15" s="319"/>
      <c r="M15" s="320"/>
      <c r="N15" s="103"/>
      <c r="O15" s="96"/>
      <c r="P15" s="111"/>
      <c r="Q15" s="110"/>
      <c r="R15" s="3"/>
      <c r="S15" s="3"/>
    </row>
    <row r="16" spans="1:22" s="1" customFormat="1" ht="22.05" customHeight="1">
      <c r="A16" s="855" t="s">
        <v>5</v>
      </c>
      <c r="B16" s="856"/>
      <c r="C16" s="195"/>
      <c r="D16" s="134"/>
      <c r="E16" s="134">
        <v>100000</v>
      </c>
      <c r="F16" s="134">
        <v>460000</v>
      </c>
      <c r="G16" s="134"/>
      <c r="H16" s="134">
        <v>460000</v>
      </c>
      <c r="I16" s="196">
        <f>H16*1.1</f>
        <v>506000.00000000006</v>
      </c>
      <c r="J16" s="344" t="s">
        <v>88</v>
      </c>
      <c r="K16" s="120">
        <v>10780</v>
      </c>
      <c r="L16" s="306">
        <v>1881</v>
      </c>
      <c r="M16" s="206">
        <v>192210</v>
      </c>
      <c r="N16" s="103">
        <f>F16/E16</f>
        <v>4.5999999999999996</v>
      </c>
      <c r="O16" s="96">
        <f t="shared" si="2"/>
        <v>204871</v>
      </c>
      <c r="P16" s="110"/>
      <c r="Q16" s="110"/>
      <c r="R16" s="47"/>
      <c r="S16" s="48"/>
      <c r="T16" s="50"/>
      <c r="V16" s="55"/>
    </row>
    <row r="17" spans="1:22" ht="8.4" customHeight="1">
      <c r="A17" s="201"/>
      <c r="B17" s="317"/>
      <c r="C17" s="171"/>
      <c r="D17" s="171"/>
      <c r="E17" s="171"/>
      <c r="F17" s="171"/>
      <c r="G17" s="171"/>
      <c r="H17" s="171"/>
      <c r="I17" s="20"/>
      <c r="J17" s="343"/>
      <c r="K17" s="323"/>
      <c r="L17" s="323"/>
      <c r="M17" s="324"/>
      <c r="N17" s="103"/>
      <c r="O17" s="96"/>
      <c r="P17" s="111"/>
      <c r="Q17" s="110"/>
      <c r="R17" s="3"/>
      <c r="S17" s="3"/>
    </row>
    <row r="18" spans="1:22" s="1" customFormat="1" ht="28.05" customHeight="1">
      <c r="A18" s="852" t="s">
        <v>57</v>
      </c>
      <c r="B18" s="224" t="s">
        <v>28</v>
      </c>
      <c r="C18" s="360">
        <f t="shared" ref="C18:I18" si="6">C4+C5</f>
        <v>127491</v>
      </c>
      <c r="D18" s="361">
        <f t="shared" si="6"/>
        <v>1083673.5</v>
      </c>
      <c r="E18" s="361">
        <f t="shared" si="6"/>
        <v>489701</v>
      </c>
      <c r="F18" s="361">
        <f t="shared" si="6"/>
        <v>1026674</v>
      </c>
      <c r="G18" s="361">
        <f t="shared" si="6"/>
        <v>15000</v>
      </c>
      <c r="H18" s="361">
        <f t="shared" si="6"/>
        <v>2125348</v>
      </c>
      <c r="I18" s="362">
        <f t="shared" si="6"/>
        <v>2337882.9</v>
      </c>
      <c r="J18" s="348" t="s">
        <v>29</v>
      </c>
      <c r="K18" s="338">
        <v>26227</v>
      </c>
      <c r="L18" s="242">
        <v>13791</v>
      </c>
      <c r="M18" s="138">
        <v>614248</v>
      </c>
      <c r="N18" s="105"/>
      <c r="O18" s="97">
        <f>K18+L18+M18</f>
        <v>654266</v>
      </c>
      <c r="P18" s="111">
        <f>(H18-O18/1.1)/H18</f>
        <v>0.72014593717016095</v>
      </c>
      <c r="Q18" s="111"/>
      <c r="R18" s="47"/>
      <c r="S18" s="3"/>
      <c r="T18" s="50"/>
      <c r="V18" s="55"/>
    </row>
    <row r="19" spans="1:22" s="1" customFormat="1" ht="28.05" customHeight="1">
      <c r="A19" s="791"/>
      <c r="B19" s="234"/>
      <c r="C19" s="363"/>
      <c r="D19" s="364"/>
      <c r="E19" s="375">
        <v>17200</v>
      </c>
      <c r="F19" s="364">
        <v>51600</v>
      </c>
      <c r="G19" s="364"/>
      <c r="H19" s="364">
        <v>51600</v>
      </c>
      <c r="I19" s="365">
        <v>56760.000000000007</v>
      </c>
      <c r="J19" s="349" t="s">
        <v>59</v>
      </c>
      <c r="K19" s="339"/>
      <c r="L19" s="243">
        <v>232</v>
      </c>
      <c r="M19" s="238">
        <v>11200</v>
      </c>
      <c r="N19" s="105"/>
      <c r="O19" s="97">
        <f t="shared" ref="O19:O22" si="7">K19+L19+M19</f>
        <v>11432</v>
      </c>
      <c r="P19" s="111">
        <f t="shared" ref="P19:P23" si="8">(H19-O19/1.1)/H19</f>
        <v>0.79859055673009161</v>
      </c>
      <c r="Q19" s="111"/>
      <c r="R19" s="47"/>
      <c r="S19" s="3"/>
      <c r="T19" s="50"/>
      <c r="V19" s="55"/>
    </row>
    <row r="20" spans="1:22" s="1" customFormat="1" ht="28.05" customHeight="1">
      <c r="A20" s="853"/>
      <c r="B20" s="918" t="s">
        <v>5</v>
      </c>
      <c r="C20" s="363"/>
      <c r="D20" s="364"/>
      <c r="E20" s="364">
        <v>199760</v>
      </c>
      <c r="F20" s="364">
        <v>523574</v>
      </c>
      <c r="G20" s="364"/>
      <c r="H20" s="364">
        <v>523574</v>
      </c>
      <c r="I20" s="365">
        <v>575931</v>
      </c>
      <c r="J20" s="350" t="s">
        <v>30</v>
      </c>
      <c r="K20" s="340">
        <v>4206</v>
      </c>
      <c r="L20" s="249">
        <v>5586</v>
      </c>
      <c r="M20" s="250">
        <v>43250</v>
      </c>
      <c r="N20" s="105"/>
      <c r="O20" s="97">
        <f t="shared" si="7"/>
        <v>53042</v>
      </c>
      <c r="P20" s="111">
        <f t="shared" si="8"/>
        <v>0.90790222585537095</v>
      </c>
      <c r="Q20" s="111"/>
      <c r="R20" s="47"/>
      <c r="S20" s="3"/>
      <c r="T20" s="50"/>
      <c r="V20" s="55"/>
    </row>
    <row r="21" spans="1:22" s="1" customFormat="1" ht="28.05" customHeight="1">
      <c r="A21" s="853"/>
      <c r="B21" s="919"/>
      <c r="C21" s="363">
        <v>16000</v>
      </c>
      <c r="D21" s="364">
        <v>160000</v>
      </c>
      <c r="E21" s="364">
        <v>77250</v>
      </c>
      <c r="F21" s="364">
        <v>115875</v>
      </c>
      <c r="G21" s="364"/>
      <c r="H21" s="364">
        <v>275875</v>
      </c>
      <c r="I21" s="365">
        <v>303463</v>
      </c>
      <c r="J21" s="351" t="s">
        <v>58</v>
      </c>
      <c r="K21" s="340">
        <v>290</v>
      </c>
      <c r="L21" s="48"/>
      <c r="M21" s="77">
        <v>118800</v>
      </c>
      <c r="N21" s="105"/>
      <c r="O21" s="97">
        <f t="shared" si="7"/>
        <v>119090</v>
      </c>
      <c r="P21" s="111">
        <f t="shared" si="8"/>
        <v>0.60756271367961445</v>
      </c>
      <c r="Q21" s="111"/>
      <c r="R21" s="47"/>
      <c r="S21" s="3"/>
      <c r="T21" s="50"/>
      <c r="V21" s="55"/>
    </row>
    <row r="22" spans="1:22" s="1" customFormat="1" ht="28.05" customHeight="1" thickBot="1">
      <c r="A22" s="853"/>
      <c r="B22" s="920"/>
      <c r="C22" s="366"/>
      <c r="D22" s="367"/>
      <c r="E22" s="367">
        <v>100000</v>
      </c>
      <c r="F22" s="367">
        <v>460000</v>
      </c>
      <c r="G22" s="367"/>
      <c r="H22" s="367">
        <v>460000</v>
      </c>
      <c r="I22" s="368">
        <v>506000</v>
      </c>
      <c r="J22" s="352" t="s">
        <v>46</v>
      </c>
      <c r="K22" s="341">
        <v>10780</v>
      </c>
      <c r="L22" s="244">
        <v>1881</v>
      </c>
      <c r="M22" s="79">
        <v>192210</v>
      </c>
      <c r="N22" s="105"/>
      <c r="O22" s="97">
        <f t="shared" si="7"/>
        <v>204871</v>
      </c>
      <c r="P22" s="111">
        <f t="shared" si="8"/>
        <v>0.59511660079051376</v>
      </c>
      <c r="Q22" s="111"/>
      <c r="R22" s="47"/>
      <c r="S22" s="3"/>
      <c r="T22" s="50"/>
      <c r="V22" s="55"/>
    </row>
    <row r="23" spans="1:22" s="1" customFormat="1" ht="28.05" customHeight="1" thickTop="1">
      <c r="A23" s="854"/>
      <c r="B23" s="227" t="s">
        <v>19</v>
      </c>
      <c r="C23" s="190">
        <f>SUM(C18:C22)</f>
        <v>143491</v>
      </c>
      <c r="D23" s="190">
        <f t="shared" ref="D23:G23" si="9">SUM(D18:D22)</f>
        <v>1243673.5</v>
      </c>
      <c r="E23" s="190">
        <f t="shared" si="9"/>
        <v>883911</v>
      </c>
      <c r="F23" s="190">
        <f t="shared" si="9"/>
        <v>2177723</v>
      </c>
      <c r="G23" s="190">
        <f t="shared" si="9"/>
        <v>15000</v>
      </c>
      <c r="H23" s="80">
        <f>SUM(H18:H22)</f>
        <v>3436397</v>
      </c>
      <c r="I23" s="80">
        <f>SUM(I18:I22)</f>
        <v>3780036.9</v>
      </c>
      <c r="J23" s="194"/>
      <c r="K23" s="194">
        <f>SUM(K18:K22)</f>
        <v>41503</v>
      </c>
      <c r="L23" s="308">
        <f>SUM(L18:L22)</f>
        <v>21490</v>
      </c>
      <c r="M23" s="307">
        <f>SUM(M18:M22)</f>
        <v>979708</v>
      </c>
      <c r="N23" s="105"/>
      <c r="O23" s="97">
        <f>K23+L23+M23+M24</f>
        <v>3342701</v>
      </c>
      <c r="P23" s="111">
        <f t="shared" si="8"/>
        <v>0.1156961518389491</v>
      </c>
      <c r="Q23" s="111"/>
      <c r="R23" s="47"/>
      <c r="S23" s="3"/>
      <c r="T23" s="50"/>
      <c r="V23" s="55"/>
    </row>
    <row r="24" spans="1:22" s="1" customFormat="1" ht="36.6" customHeight="1">
      <c r="A24"/>
      <c r="B24" s="40" t="s">
        <v>20</v>
      </c>
      <c r="I24" s="41"/>
      <c r="J24" s="44"/>
      <c r="M24" s="48">
        <v>2300000</v>
      </c>
      <c r="N24" s="106"/>
      <c r="O24" s="48"/>
      <c r="P24" s="47"/>
      <c r="Q24" s="47"/>
      <c r="R24" s="47"/>
      <c r="S24" s="48"/>
      <c r="T24" s="50"/>
      <c r="V24" s="55"/>
    </row>
    <row r="25" spans="1:22" ht="19.8" customHeight="1">
      <c r="L25" s="1" t="s">
        <v>97</v>
      </c>
      <c r="M25" s="48">
        <v>3430</v>
      </c>
      <c r="O25" s="353" t="s">
        <v>98</v>
      </c>
      <c r="P25" s="311"/>
    </row>
    <row r="26" spans="1:22">
      <c r="L26" s="1" t="s">
        <v>96</v>
      </c>
      <c r="M26" s="97">
        <v>2330</v>
      </c>
      <c r="O26" s="48" t="s">
        <v>99</v>
      </c>
    </row>
    <row r="27" spans="1:22">
      <c r="L27" s="1" t="s">
        <v>51</v>
      </c>
      <c r="M27" s="48">
        <v>820</v>
      </c>
      <c r="O27" s="48" t="s">
        <v>98</v>
      </c>
    </row>
    <row r="28" spans="1:22">
      <c r="J28" s="150"/>
    </row>
    <row r="35" spans="2:2">
      <c r="B35" s="40" t="s">
        <v>105</v>
      </c>
    </row>
    <row r="36" spans="2:2">
      <c r="B36" s="40" t="s">
        <v>100</v>
      </c>
    </row>
    <row r="37" spans="2:2">
      <c r="B37" s="40" t="s">
        <v>101</v>
      </c>
    </row>
    <row r="38" spans="2:2">
      <c r="B38" s="40" t="s">
        <v>102</v>
      </c>
    </row>
    <row r="39" spans="2:2">
      <c r="B39" s="40" t="s">
        <v>103</v>
      </c>
    </row>
    <row r="40" spans="2:2">
      <c r="B40" s="40" t="s">
        <v>104</v>
      </c>
    </row>
  </sheetData>
  <mergeCells count="28">
    <mergeCell ref="N2:N3"/>
    <mergeCell ref="O2:O3"/>
    <mergeCell ref="P2:P3"/>
    <mergeCell ref="Q2:Q3"/>
    <mergeCell ref="R2:R3"/>
    <mergeCell ref="A18:A23"/>
    <mergeCell ref="B20:B22"/>
    <mergeCell ref="A9:B9"/>
    <mergeCell ref="A10:B10"/>
    <mergeCell ref="A11:B11"/>
    <mergeCell ref="A13:A14"/>
    <mergeCell ref="B13:B14"/>
    <mergeCell ref="A16:B16"/>
    <mergeCell ref="A7:B7"/>
    <mergeCell ref="M13:M14"/>
    <mergeCell ref="K13:K14"/>
    <mergeCell ref="L13:L14"/>
    <mergeCell ref="A1:M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</mergeCells>
  <phoneticPr fontId="3"/>
  <conditionalFormatting sqref="E11:F11 J11 C13:C14 E13:F14 J13:J14">
    <cfRule type="expression" dxfId="311" priority="7">
      <formula>COUNTIF(#REF!,"*済*")</formula>
    </cfRule>
    <cfRule type="expression" dxfId="310" priority="8">
      <formula>COUNTIF(#REF!,"*一部*")</formula>
    </cfRule>
    <cfRule type="expression" dxfId="309" priority="9">
      <formula>COUNTIF(#REF!,"*未*")</formula>
    </cfRule>
  </conditionalFormatting>
  <conditionalFormatting sqref="E9:G10 J9:K10">
    <cfRule type="expression" dxfId="308" priority="10">
      <formula>COUNTIF(#REF!,"*済*")</formula>
    </cfRule>
    <cfRule type="expression" dxfId="307" priority="11">
      <formula>COUNTIF(#REF!,"*一部*")</formula>
    </cfRule>
    <cfRule type="expression" dxfId="306" priority="12">
      <formula>COUNTIF(#REF!,"*未*")</formula>
    </cfRule>
  </conditionalFormatting>
  <conditionalFormatting sqref="E9:H10">
    <cfRule type="expression" dxfId="305" priority="4">
      <formula>COUNTIF(#REF!,"*済*")</formula>
    </cfRule>
    <cfRule type="expression" dxfId="304" priority="5">
      <formula>COUNTIF(#REF!,"*一部*")</formula>
    </cfRule>
    <cfRule type="expression" dxfId="303" priority="6">
      <formula>COUNTIF(#REF!,"*未*")</formula>
    </cfRule>
  </conditionalFormatting>
  <conditionalFormatting sqref="F11 F13:F14">
    <cfRule type="expression" dxfId="302" priority="13">
      <formula>COUNTIF(#REF!,"*済*")</formula>
    </cfRule>
    <cfRule type="expression" dxfId="301" priority="14">
      <formula>COUNTIF(#REF!,"*一部*")</formula>
    </cfRule>
    <cfRule type="expression" dxfId="300" priority="15">
      <formula>COUNTIF(#REF!,"*未*")</formula>
    </cfRule>
    <cfRule type="expression" dxfId="299" priority="16">
      <formula>COUNTIF(#REF!,"*済*")</formula>
    </cfRule>
    <cfRule type="expression" dxfId="298" priority="17">
      <formula>COUNTIF(#REF!,"*一部*")</formula>
    </cfRule>
    <cfRule type="expression" dxfId="297" priority="18">
      <formula>COUNTIF(#REF!,"*未*")</formula>
    </cfRule>
  </conditionalFormatting>
  <conditionalFormatting sqref="H9:H10">
    <cfRule type="expression" dxfId="296" priority="1">
      <formula>COUNTIF(#REF!,"*済*")</formula>
    </cfRule>
    <cfRule type="expression" dxfId="295" priority="2">
      <formula>COUNTIF(#REF!,"*一部*")</formula>
    </cfRule>
    <cfRule type="expression" dxfId="294" priority="3">
      <formula>COUNTIF(#REF!,"*未*")</formula>
    </cfRule>
  </conditionalFormatting>
  <conditionalFormatting sqref="J9:K10">
    <cfRule type="expression" dxfId="293" priority="19">
      <formula>COUNTIF(#REF!,"*済*")</formula>
    </cfRule>
    <cfRule type="expression" dxfId="292" priority="20">
      <formula>COUNTIF(#REF!,"*一部*")</formula>
    </cfRule>
    <cfRule type="expression" dxfId="291" priority="21">
      <formula>COUNTIF(#REF!,"*未*")</formula>
    </cfRule>
  </conditionalFormatting>
  <printOptions horizontalCentered="1"/>
  <pageMargins left="0" right="0" top="0.74803149606299213" bottom="0.19685039370078741" header="0.31496062992125984" footer="0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34DF-A34E-4B5C-9F01-58BEC929A6C9}">
  <sheetPr codeName="Sheet6">
    <pageSetUpPr fitToPage="1"/>
  </sheetPr>
  <dimension ref="A1:P32"/>
  <sheetViews>
    <sheetView zoomScaleNormal="100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M16" sqref="M16"/>
    </sheetView>
  </sheetViews>
  <sheetFormatPr defaultRowHeight="13.2"/>
  <cols>
    <col min="1" max="1" width="9.77734375" customWidth="1"/>
    <col min="2" max="2" width="10.5546875" style="42" customWidth="1"/>
    <col min="3" max="3" width="10.6640625" style="1" customWidth="1"/>
    <col min="4" max="6" width="12.6640625" style="1" customWidth="1"/>
    <col min="7" max="7" width="11.21875" style="1" customWidth="1"/>
    <col min="8" max="8" width="13.33203125" style="1" customWidth="1"/>
    <col min="9" max="9" width="13.6640625" style="36" customWidth="1"/>
    <col min="10" max="10" width="45.44140625" style="44" customWidth="1"/>
    <col min="11" max="12" width="10.77734375" style="1" customWidth="1"/>
    <col min="13" max="13" width="13.44140625" style="48" customWidth="1"/>
    <col min="14" max="14" width="13.44140625" style="143" customWidth="1"/>
    <col min="15" max="15" width="9.6640625" style="144" customWidth="1"/>
    <col min="16" max="16" width="7.77734375" style="106" customWidth="1"/>
  </cols>
  <sheetData>
    <row r="1" spans="1:16" ht="32.25" customHeight="1">
      <c r="A1" s="946" t="s">
        <v>0</v>
      </c>
      <c r="B1" s="946"/>
      <c r="C1" s="946"/>
      <c r="D1" s="946"/>
      <c r="E1" s="946"/>
      <c r="F1" s="946"/>
      <c r="I1" s="2"/>
      <c r="P1" s="98"/>
    </row>
    <row r="2" spans="1:16" ht="20.25" customHeight="1">
      <c r="A2" s="873" t="s">
        <v>1</v>
      </c>
      <c r="B2" s="947" t="s">
        <v>2</v>
      </c>
      <c r="C2" s="877" t="s">
        <v>3</v>
      </c>
      <c r="D2" s="877"/>
      <c r="E2" s="877" t="s">
        <v>4</v>
      </c>
      <c r="F2" s="878"/>
      <c r="G2" s="944" t="s">
        <v>5</v>
      </c>
      <c r="H2" s="940" t="s">
        <v>31</v>
      </c>
      <c r="I2" s="881" t="s">
        <v>6</v>
      </c>
      <c r="J2" s="882" t="s">
        <v>7</v>
      </c>
      <c r="K2" s="889" t="s">
        <v>8</v>
      </c>
      <c r="L2" s="890" t="s">
        <v>9</v>
      </c>
      <c r="M2" s="942" t="s">
        <v>10</v>
      </c>
      <c r="N2" s="894" t="s">
        <v>51</v>
      </c>
      <c r="O2" s="924" t="s">
        <v>50</v>
      </c>
      <c r="P2" s="101" t="s">
        <v>48</v>
      </c>
    </row>
    <row r="3" spans="1:16" s="7" customFormat="1" ht="20.25" customHeight="1" thickBot="1">
      <c r="A3" s="874"/>
      <c r="B3" s="948"/>
      <c r="C3" s="4" t="s">
        <v>11</v>
      </c>
      <c r="D3" s="4" t="s">
        <v>12</v>
      </c>
      <c r="E3" s="4" t="s">
        <v>11</v>
      </c>
      <c r="F3" s="5" t="s">
        <v>12</v>
      </c>
      <c r="G3" s="945"/>
      <c r="H3" s="941"/>
      <c r="I3" s="817"/>
      <c r="J3" s="819"/>
      <c r="K3" s="821"/>
      <c r="L3" s="823"/>
      <c r="M3" s="943"/>
      <c r="N3" s="894"/>
      <c r="O3" s="924"/>
      <c r="P3" s="102" t="s">
        <v>49</v>
      </c>
    </row>
    <row r="4" spans="1:16" ht="25.5" customHeight="1" thickTop="1">
      <c r="A4" s="8">
        <v>45947</v>
      </c>
      <c r="B4" s="9" t="s">
        <v>13</v>
      </c>
      <c r="C4" s="10">
        <v>58180</v>
      </c>
      <c r="D4" s="11">
        <v>494530</v>
      </c>
      <c r="E4" s="11">
        <v>51534</v>
      </c>
      <c r="F4" s="12">
        <v>125682</v>
      </c>
      <c r="G4" s="173">
        <v>10000</v>
      </c>
      <c r="H4" s="166">
        <f>D4+F4+G4</f>
        <v>630212</v>
      </c>
      <c r="I4" s="20">
        <f>ROUND(H4*1.1,0)</f>
        <v>693233</v>
      </c>
      <c r="J4" s="14"/>
      <c r="K4" s="59">
        <v>13620</v>
      </c>
      <c r="L4" s="60">
        <v>3741</v>
      </c>
      <c r="M4" s="61">
        <v>241474</v>
      </c>
      <c r="N4" s="145">
        <f>K4+L4+M4</f>
        <v>258835</v>
      </c>
      <c r="O4" s="146">
        <f>(I4-N4)/I4</f>
        <v>0.62662625697276386</v>
      </c>
      <c r="P4" s="103">
        <f t="shared" ref="P4:P19" si="0">F4/E4</f>
        <v>2.4388170916288274</v>
      </c>
    </row>
    <row r="5" spans="1:16" ht="25.05" customHeight="1">
      <c r="A5" s="15">
        <v>45954</v>
      </c>
      <c r="B5" s="16" t="s">
        <v>14</v>
      </c>
      <c r="C5" s="17">
        <v>69460</v>
      </c>
      <c r="D5" s="18">
        <v>590410</v>
      </c>
      <c r="E5" s="18">
        <v>350862</v>
      </c>
      <c r="F5" s="19">
        <v>701878</v>
      </c>
      <c r="G5" s="174">
        <v>5000</v>
      </c>
      <c r="H5" s="43">
        <f>D5+F5+G5</f>
        <v>1297288</v>
      </c>
      <c r="I5" s="20">
        <f>ROUND(H5*1.1,0)</f>
        <v>1427017</v>
      </c>
      <c r="J5" s="45"/>
      <c r="K5" s="62">
        <v>17270</v>
      </c>
      <c r="L5" s="63">
        <v>4270</v>
      </c>
      <c r="M5" s="64">
        <v>338268</v>
      </c>
      <c r="N5" s="145">
        <f t="shared" ref="N5:N23" si="1">K5+L5+M5</f>
        <v>359808</v>
      </c>
      <c r="O5" s="146">
        <f t="shared" ref="O5:O23" si="2">(I5-N5)/I5</f>
        <v>0.74786004651661475</v>
      </c>
      <c r="P5" s="103">
        <f t="shared" si="0"/>
        <v>2.0004389190051928</v>
      </c>
    </row>
    <row r="6" spans="1:16" ht="22.05" customHeight="1">
      <c r="A6" s="15"/>
      <c r="B6" s="21"/>
      <c r="C6" s="22"/>
      <c r="D6" s="22"/>
      <c r="E6" s="22"/>
      <c r="F6" s="23"/>
      <c r="G6" s="24"/>
      <c r="H6" s="167"/>
      <c r="I6" s="20"/>
      <c r="J6" s="46"/>
      <c r="K6" s="65"/>
      <c r="L6" s="65"/>
      <c r="M6" s="66"/>
      <c r="N6" s="145"/>
      <c r="O6" s="146"/>
      <c r="P6" s="103"/>
    </row>
    <row r="7" spans="1:16" ht="22.05" customHeight="1">
      <c r="A7" s="938" t="s">
        <v>21</v>
      </c>
      <c r="B7" s="938"/>
      <c r="C7" s="43"/>
      <c r="D7" s="18"/>
      <c r="E7" s="43">
        <v>36500</v>
      </c>
      <c r="F7" s="18">
        <v>219000</v>
      </c>
      <c r="G7" s="174"/>
      <c r="H7" s="43">
        <v>219000</v>
      </c>
      <c r="I7" s="20">
        <f t="shared" ref="I7:I28" si="3">ROUND(H7*1.1,0)</f>
        <v>240900</v>
      </c>
      <c r="J7" s="25"/>
      <c r="K7" s="67">
        <v>9040</v>
      </c>
      <c r="L7" s="67">
        <v>3350</v>
      </c>
      <c r="M7" s="68">
        <v>83100</v>
      </c>
      <c r="N7" s="145">
        <f t="shared" si="1"/>
        <v>95490</v>
      </c>
      <c r="O7" s="146">
        <f t="shared" si="2"/>
        <v>0.60361145703611452</v>
      </c>
      <c r="P7" s="103">
        <f t="shared" si="0"/>
        <v>6</v>
      </c>
    </row>
    <row r="8" spans="1:16" ht="22.05" customHeight="1">
      <c r="A8" s="827" t="s">
        <v>22</v>
      </c>
      <c r="B8" s="939"/>
      <c r="C8" s="18"/>
      <c r="D8" s="18"/>
      <c r="E8" s="18">
        <v>16200</v>
      </c>
      <c r="F8" s="18">
        <v>97200</v>
      </c>
      <c r="G8" s="174"/>
      <c r="H8" s="43">
        <v>97200</v>
      </c>
      <c r="I8" s="20">
        <f t="shared" si="3"/>
        <v>106920</v>
      </c>
      <c r="J8" s="159" t="s">
        <v>39</v>
      </c>
      <c r="K8" s="67">
        <v>3900</v>
      </c>
      <c r="L8" s="69">
        <v>915</v>
      </c>
      <c r="M8" s="68">
        <v>18000</v>
      </c>
      <c r="N8" s="145">
        <f t="shared" si="1"/>
        <v>22815</v>
      </c>
      <c r="O8" s="146">
        <f t="shared" si="2"/>
        <v>0.78661616161616166</v>
      </c>
      <c r="P8" s="103">
        <f t="shared" si="0"/>
        <v>6</v>
      </c>
    </row>
    <row r="9" spans="1:16" ht="22.05" customHeight="1">
      <c r="A9" s="855" t="s">
        <v>15</v>
      </c>
      <c r="B9" s="930"/>
      <c r="C9" s="163"/>
      <c r="D9" s="140"/>
      <c r="E9" s="140">
        <v>40000</v>
      </c>
      <c r="F9" s="140">
        <v>160000</v>
      </c>
      <c r="G9" s="175"/>
      <c r="H9" s="163">
        <v>160000</v>
      </c>
      <c r="I9" s="124">
        <f t="shared" si="3"/>
        <v>176000</v>
      </c>
      <c r="J9" s="112" t="s">
        <v>23</v>
      </c>
      <c r="K9" s="160"/>
      <c r="L9" s="151"/>
      <c r="M9" s="152">
        <v>112000</v>
      </c>
      <c r="N9" s="145">
        <f t="shared" si="1"/>
        <v>112000</v>
      </c>
      <c r="O9" s="146">
        <f t="shared" si="2"/>
        <v>0.36363636363636365</v>
      </c>
      <c r="P9" s="103">
        <f t="shared" si="0"/>
        <v>4</v>
      </c>
    </row>
    <row r="10" spans="1:16" ht="22.05" customHeight="1">
      <c r="A10" s="931"/>
      <c r="B10" s="932"/>
      <c r="C10" s="164"/>
      <c r="D10" s="142"/>
      <c r="E10" s="142">
        <v>40000</v>
      </c>
      <c r="F10" s="142">
        <v>160000</v>
      </c>
      <c r="G10" s="176"/>
      <c r="H10" s="164">
        <v>160000</v>
      </c>
      <c r="I10" s="114">
        <f t="shared" si="3"/>
        <v>176000</v>
      </c>
      <c r="J10" s="113" t="s">
        <v>24</v>
      </c>
      <c r="K10" s="161"/>
      <c r="L10" s="153"/>
      <c r="M10" s="154">
        <v>132000</v>
      </c>
      <c r="N10" s="145">
        <f t="shared" si="1"/>
        <v>132000</v>
      </c>
      <c r="O10" s="146">
        <f t="shared" si="2"/>
        <v>0.25</v>
      </c>
      <c r="P10" s="103">
        <f t="shared" si="0"/>
        <v>4</v>
      </c>
    </row>
    <row r="11" spans="1:16" ht="22.05" customHeight="1">
      <c r="A11" s="931"/>
      <c r="B11" s="932"/>
      <c r="C11" s="164"/>
      <c r="D11" s="142"/>
      <c r="E11" s="142">
        <v>40000</v>
      </c>
      <c r="F11" s="142">
        <v>160000</v>
      </c>
      <c r="G11" s="176"/>
      <c r="H11" s="164">
        <v>160000</v>
      </c>
      <c r="I11" s="114">
        <f t="shared" si="3"/>
        <v>176000</v>
      </c>
      <c r="J11" s="113" t="s">
        <v>25</v>
      </c>
      <c r="K11" s="161"/>
      <c r="L11" s="153"/>
      <c r="M11" s="154">
        <v>132000</v>
      </c>
      <c r="N11" s="145">
        <f t="shared" si="1"/>
        <v>132000</v>
      </c>
      <c r="O11" s="146">
        <f t="shared" si="2"/>
        <v>0.25</v>
      </c>
      <c r="P11" s="103">
        <f t="shared" si="0"/>
        <v>4</v>
      </c>
    </row>
    <row r="12" spans="1:16" ht="22.05" customHeight="1">
      <c r="A12" s="931"/>
      <c r="B12" s="932"/>
      <c r="C12" s="164"/>
      <c r="D12" s="142"/>
      <c r="E12" s="142">
        <v>40000</v>
      </c>
      <c r="F12" s="142">
        <v>160000</v>
      </c>
      <c r="G12" s="176"/>
      <c r="H12" s="164">
        <v>160000</v>
      </c>
      <c r="I12" s="114">
        <f t="shared" si="3"/>
        <v>176000</v>
      </c>
      <c r="J12" s="113" t="s">
        <v>26</v>
      </c>
      <c r="K12" s="161"/>
      <c r="L12" s="153"/>
      <c r="M12" s="154">
        <v>132000</v>
      </c>
      <c r="N12" s="145">
        <f t="shared" si="1"/>
        <v>132000</v>
      </c>
      <c r="O12" s="146">
        <f t="shared" si="2"/>
        <v>0.25</v>
      </c>
      <c r="P12" s="103">
        <f t="shared" si="0"/>
        <v>4</v>
      </c>
    </row>
    <row r="13" spans="1:16" ht="22.05" customHeight="1">
      <c r="A13" s="827"/>
      <c r="B13" s="828"/>
      <c r="C13" s="165"/>
      <c r="D13" s="10"/>
      <c r="E13" s="10">
        <v>40000</v>
      </c>
      <c r="F13" s="10">
        <v>160000</v>
      </c>
      <c r="G13" s="177"/>
      <c r="H13" s="165">
        <v>160000</v>
      </c>
      <c r="I13" s="137">
        <f t="shared" si="3"/>
        <v>176000</v>
      </c>
      <c r="J13" s="183" t="s">
        <v>27</v>
      </c>
      <c r="K13" s="162"/>
      <c r="L13" s="155"/>
      <c r="M13" s="156">
        <v>132000</v>
      </c>
      <c r="N13" s="145">
        <f t="shared" si="1"/>
        <v>132000</v>
      </c>
      <c r="O13" s="146">
        <f t="shared" si="2"/>
        <v>0.25</v>
      </c>
      <c r="P13" s="103">
        <f t="shared" si="0"/>
        <v>4</v>
      </c>
    </row>
    <row r="14" spans="1:16" ht="22.05" customHeight="1">
      <c r="A14" s="855" t="s">
        <v>16</v>
      </c>
      <c r="B14" s="933"/>
      <c r="C14" s="157"/>
      <c r="D14" s="157"/>
      <c r="E14" s="157">
        <v>10000</v>
      </c>
      <c r="F14" s="157">
        <v>40000</v>
      </c>
      <c r="G14" s="178"/>
      <c r="H14" s="169">
        <v>40000</v>
      </c>
      <c r="I14" s="158">
        <f t="shared" si="3"/>
        <v>44000</v>
      </c>
      <c r="J14" s="35" t="s">
        <v>32</v>
      </c>
      <c r="K14" s="149">
        <v>0</v>
      </c>
      <c r="L14" s="149">
        <v>0</v>
      </c>
      <c r="M14" s="138">
        <v>16800</v>
      </c>
      <c r="N14" s="145">
        <f t="shared" si="1"/>
        <v>16800</v>
      </c>
      <c r="O14" s="146">
        <f t="shared" si="2"/>
        <v>0.61818181818181817</v>
      </c>
      <c r="P14" s="103">
        <f t="shared" si="0"/>
        <v>4</v>
      </c>
    </row>
    <row r="15" spans="1:16" ht="22.05" customHeight="1">
      <c r="A15" s="931"/>
      <c r="B15" s="934"/>
      <c r="C15" s="31"/>
      <c r="D15" s="31"/>
      <c r="E15" s="31">
        <v>10000</v>
      </c>
      <c r="F15" s="31">
        <v>40000</v>
      </c>
      <c r="G15" s="179"/>
      <c r="H15" s="170">
        <v>40000</v>
      </c>
      <c r="I15" s="141">
        <f t="shared" si="3"/>
        <v>44000</v>
      </c>
      <c r="J15" s="44" t="s">
        <v>33</v>
      </c>
      <c r="K15" s="72">
        <v>0</v>
      </c>
      <c r="L15" s="72">
        <v>0</v>
      </c>
      <c r="M15" s="73">
        <v>0</v>
      </c>
      <c r="N15" s="145">
        <f t="shared" si="1"/>
        <v>0</v>
      </c>
      <c r="O15" s="146">
        <f t="shared" si="2"/>
        <v>1</v>
      </c>
      <c r="P15" s="103">
        <f t="shared" si="0"/>
        <v>4</v>
      </c>
    </row>
    <row r="16" spans="1:16" ht="22.05" customHeight="1">
      <c r="A16" s="15"/>
      <c r="B16" s="26"/>
      <c r="C16" s="22"/>
      <c r="D16" s="22"/>
      <c r="E16" s="22"/>
      <c r="F16" s="22"/>
      <c r="G16" s="24"/>
      <c r="H16" s="167"/>
      <c r="I16" s="20"/>
      <c r="J16" s="25"/>
      <c r="K16" s="67"/>
      <c r="L16" s="67"/>
      <c r="M16" s="68"/>
      <c r="N16" s="145"/>
      <c r="O16" s="146"/>
      <c r="P16" s="103"/>
    </row>
    <row r="17" spans="1:16" ht="22.05" customHeight="1">
      <c r="A17" s="925" t="s">
        <v>41</v>
      </c>
      <c r="B17" s="926"/>
      <c r="C17" s="22"/>
      <c r="D17" s="22"/>
      <c r="E17" s="81">
        <v>61920</v>
      </c>
      <c r="F17" s="82">
        <v>194118</v>
      </c>
      <c r="G17" s="180"/>
      <c r="H17" s="171">
        <f>F17+D17</f>
        <v>194118</v>
      </c>
      <c r="I17" s="20">
        <f>ROUND(H17*1.1,0)</f>
        <v>213530</v>
      </c>
      <c r="J17" s="27"/>
      <c r="K17" s="69">
        <v>500</v>
      </c>
      <c r="L17" s="69">
        <v>339</v>
      </c>
      <c r="M17" s="70">
        <v>8951</v>
      </c>
      <c r="N17" s="145">
        <f t="shared" si="1"/>
        <v>9790</v>
      </c>
      <c r="O17" s="146">
        <f t="shared" si="2"/>
        <v>0.95415164145553322</v>
      </c>
      <c r="P17" s="103">
        <f t="shared" si="0"/>
        <v>3.134980620155039</v>
      </c>
    </row>
    <row r="18" spans="1:16" ht="22.05" customHeight="1">
      <c r="A18" s="925" t="s">
        <v>42</v>
      </c>
      <c r="B18" s="926"/>
      <c r="C18" s="22"/>
      <c r="D18" s="22"/>
      <c r="E18" s="81">
        <v>79290</v>
      </c>
      <c r="F18" s="82">
        <v>264931</v>
      </c>
      <c r="G18" s="180"/>
      <c r="H18" s="171">
        <f t="shared" ref="H18:H19" si="4">F18+D18</f>
        <v>264931</v>
      </c>
      <c r="I18" s="20">
        <f t="shared" si="3"/>
        <v>291424</v>
      </c>
      <c r="J18" s="27"/>
      <c r="K18" s="69">
        <v>2450</v>
      </c>
      <c r="L18" s="69">
        <v>723</v>
      </c>
      <c r="M18" s="70">
        <v>85568</v>
      </c>
      <c r="N18" s="145">
        <f t="shared" si="1"/>
        <v>88741</v>
      </c>
      <c r="O18" s="146">
        <f t="shared" si="2"/>
        <v>0.69549179202811029</v>
      </c>
      <c r="P18" s="103">
        <f t="shared" si="0"/>
        <v>3.3412914617227898</v>
      </c>
    </row>
    <row r="19" spans="1:16" ht="22.05" customHeight="1">
      <c r="A19" s="925" t="s">
        <v>43</v>
      </c>
      <c r="B19" s="926"/>
      <c r="C19" s="22"/>
      <c r="D19" s="22"/>
      <c r="E19" s="83">
        <v>58390</v>
      </c>
      <c r="F19" s="82">
        <v>191935</v>
      </c>
      <c r="G19" s="24"/>
      <c r="H19" s="171">
        <f t="shared" si="4"/>
        <v>191935</v>
      </c>
      <c r="I19" s="20">
        <f t="shared" si="3"/>
        <v>211129</v>
      </c>
      <c r="J19" s="27"/>
      <c r="K19" s="70">
        <v>6670</v>
      </c>
      <c r="L19" s="70">
        <v>764</v>
      </c>
      <c r="M19" s="70">
        <v>41416</v>
      </c>
      <c r="N19" s="145">
        <f t="shared" si="1"/>
        <v>48850</v>
      </c>
      <c r="O19" s="146">
        <f t="shared" si="2"/>
        <v>0.76862486915582418</v>
      </c>
      <c r="P19" s="103">
        <f t="shared" si="0"/>
        <v>3.2871210823771193</v>
      </c>
    </row>
    <row r="20" spans="1:16" s="1" customFormat="1" ht="22.05" customHeight="1">
      <c r="A20" s="15"/>
      <c r="B20" s="26"/>
      <c r="C20" s="22"/>
      <c r="D20" s="23"/>
      <c r="E20" s="82"/>
      <c r="F20" s="82"/>
      <c r="G20" s="24"/>
      <c r="H20" s="167"/>
      <c r="I20" s="20"/>
      <c r="J20" s="28"/>
      <c r="K20" s="70"/>
      <c r="L20" s="71"/>
      <c r="M20" s="71"/>
      <c r="N20" s="145"/>
      <c r="O20" s="146"/>
      <c r="P20" s="104"/>
    </row>
    <row r="21" spans="1:16" s="1" customFormat="1" ht="22.05" customHeight="1">
      <c r="A21" s="907" t="s">
        <v>17</v>
      </c>
      <c r="B21" s="936" t="s">
        <v>40</v>
      </c>
      <c r="C21" s="84">
        <v>10350</v>
      </c>
      <c r="D21" s="29">
        <v>103500</v>
      </c>
      <c r="E21" s="84">
        <v>33750</v>
      </c>
      <c r="F21" s="84">
        <v>90875</v>
      </c>
      <c r="G21" s="181"/>
      <c r="H21" s="172">
        <v>194375</v>
      </c>
      <c r="I21" s="20">
        <f t="shared" si="3"/>
        <v>213813</v>
      </c>
      <c r="J21" s="30" t="s">
        <v>47</v>
      </c>
      <c r="K21" s="56"/>
      <c r="L21" s="70"/>
      <c r="M21" s="66">
        <v>115225</v>
      </c>
      <c r="N21" s="145">
        <f t="shared" si="1"/>
        <v>115225</v>
      </c>
      <c r="O21" s="146">
        <f t="shared" si="2"/>
        <v>0.46109450781757894</v>
      </c>
      <c r="P21" s="105"/>
    </row>
    <row r="22" spans="1:16" s="1" customFormat="1" ht="22.05" customHeight="1">
      <c r="A22" s="935"/>
      <c r="B22" s="937"/>
      <c r="C22" s="85">
        <v>10600</v>
      </c>
      <c r="D22" s="32">
        <v>106000</v>
      </c>
      <c r="E22" s="85">
        <v>19600</v>
      </c>
      <c r="F22" s="85">
        <v>32400</v>
      </c>
      <c r="G22" s="182"/>
      <c r="H22" s="170">
        <v>138400</v>
      </c>
      <c r="I22" s="20">
        <f t="shared" si="3"/>
        <v>152240</v>
      </c>
      <c r="J22" s="33" t="s">
        <v>34</v>
      </c>
      <c r="K22" s="70">
        <v>290</v>
      </c>
      <c r="L22" s="70"/>
      <c r="M22" s="66">
        <v>24585</v>
      </c>
      <c r="N22" s="145">
        <f t="shared" si="1"/>
        <v>24875</v>
      </c>
      <c r="O22" s="146">
        <f t="shared" si="2"/>
        <v>0.83660667367314767</v>
      </c>
      <c r="P22" s="105"/>
    </row>
    <row r="23" spans="1:16" s="1" customFormat="1" ht="22.05" customHeight="1">
      <c r="A23" s="925"/>
      <c r="B23" s="926"/>
      <c r="C23" s="22"/>
      <c r="D23" s="22"/>
      <c r="E23" s="22">
        <v>170000</v>
      </c>
      <c r="F23" s="22">
        <f>E23*3.5</f>
        <v>595000</v>
      </c>
      <c r="G23" s="24"/>
      <c r="H23" s="167">
        <v>595000</v>
      </c>
      <c r="I23" s="20">
        <f t="shared" si="3"/>
        <v>654500</v>
      </c>
      <c r="J23" s="25" t="s">
        <v>44</v>
      </c>
      <c r="K23" s="72"/>
      <c r="L23" s="72"/>
      <c r="M23" s="73">
        <v>53900</v>
      </c>
      <c r="N23" s="145">
        <f t="shared" si="1"/>
        <v>53900</v>
      </c>
      <c r="O23" s="146">
        <f t="shared" si="2"/>
        <v>0.91764705882352937</v>
      </c>
      <c r="P23" s="105"/>
    </row>
    <row r="24" spans="1:16" s="1" customFormat="1" ht="25.05" customHeight="1">
      <c r="A24" s="927" t="s">
        <v>18</v>
      </c>
      <c r="B24" s="86" t="s">
        <v>28</v>
      </c>
      <c r="C24" s="87">
        <f>SUM(C4:C16)</f>
        <v>127640</v>
      </c>
      <c r="D24" s="87">
        <f t="shared" ref="D24:I24" si="5">SUM(D4:D16)</f>
        <v>1084940</v>
      </c>
      <c r="E24" s="87">
        <f t="shared" si="5"/>
        <v>675096</v>
      </c>
      <c r="F24" s="87">
        <f t="shared" si="5"/>
        <v>2023760</v>
      </c>
      <c r="G24" s="87">
        <f t="shared" si="5"/>
        <v>15000</v>
      </c>
      <c r="H24" s="87">
        <f t="shared" si="5"/>
        <v>3123700</v>
      </c>
      <c r="I24" s="87">
        <f t="shared" si="5"/>
        <v>3436070</v>
      </c>
      <c r="J24" s="88" t="s">
        <v>29</v>
      </c>
      <c r="K24" s="74"/>
      <c r="L24" s="74"/>
      <c r="M24" s="75"/>
      <c r="N24" s="147">
        <v>1393748</v>
      </c>
      <c r="O24" s="148">
        <f>(I24-N24)/I24</f>
        <v>0.59437729731932121</v>
      </c>
      <c r="P24" s="105"/>
    </row>
    <row r="25" spans="1:16" s="1" customFormat="1" ht="25.05" customHeight="1">
      <c r="A25" s="928"/>
      <c r="B25" s="89"/>
      <c r="C25" s="90"/>
      <c r="D25" s="90"/>
      <c r="E25" s="90"/>
      <c r="F25" s="90"/>
      <c r="G25" s="90"/>
      <c r="H25" s="90"/>
      <c r="I25" s="94">
        <f t="shared" si="3"/>
        <v>0</v>
      </c>
      <c r="J25" s="91"/>
      <c r="K25" s="76"/>
      <c r="L25" s="76"/>
      <c r="M25" s="77"/>
      <c r="N25" s="147"/>
      <c r="O25" s="148"/>
      <c r="P25" s="105"/>
    </row>
    <row r="26" spans="1:16" s="1" customFormat="1" ht="25.05" customHeight="1">
      <c r="A26" s="928"/>
      <c r="B26" s="89" t="s">
        <v>5</v>
      </c>
      <c r="C26" s="90"/>
      <c r="D26" s="90"/>
      <c r="E26" s="90">
        <v>199600</v>
      </c>
      <c r="F26" s="90">
        <v>650984</v>
      </c>
      <c r="G26" s="90"/>
      <c r="H26" s="90">
        <v>650984</v>
      </c>
      <c r="I26" s="94">
        <f t="shared" si="3"/>
        <v>716082</v>
      </c>
      <c r="J26" s="92" t="s">
        <v>30</v>
      </c>
      <c r="K26" s="76"/>
      <c r="L26" s="76"/>
      <c r="M26" s="77"/>
      <c r="N26" s="147">
        <v>147381</v>
      </c>
      <c r="O26" s="148">
        <f t="shared" ref="O26:O29" si="6">(I26-N26)/I26</f>
        <v>0.7941841856100279</v>
      </c>
      <c r="P26" s="105"/>
    </row>
    <row r="27" spans="1:16" s="1" customFormat="1" ht="25.05" customHeight="1">
      <c r="A27" s="928"/>
      <c r="B27" s="89"/>
      <c r="C27" s="90">
        <v>20950</v>
      </c>
      <c r="D27" s="90">
        <v>209500</v>
      </c>
      <c r="E27" s="90">
        <v>53350</v>
      </c>
      <c r="F27" s="90">
        <v>123275</v>
      </c>
      <c r="G27" s="90">
        <v>0</v>
      </c>
      <c r="H27" s="90">
        <v>332775</v>
      </c>
      <c r="I27" s="94">
        <f t="shared" si="3"/>
        <v>366053</v>
      </c>
      <c r="J27" s="91" t="s">
        <v>45</v>
      </c>
      <c r="K27" s="76"/>
      <c r="L27" s="76"/>
      <c r="M27" s="77"/>
      <c r="N27" s="147">
        <v>140100</v>
      </c>
      <c r="O27" s="148">
        <f t="shared" si="6"/>
        <v>0.61726853761613754</v>
      </c>
      <c r="P27" s="106"/>
    </row>
    <row r="28" spans="1:16" s="1" customFormat="1" ht="25.05" customHeight="1" thickBot="1">
      <c r="A28" s="928"/>
      <c r="B28" s="37"/>
      <c r="C28" s="38"/>
      <c r="D28" s="38"/>
      <c r="E28" s="38">
        <v>170000</v>
      </c>
      <c r="F28" s="38">
        <v>595000</v>
      </c>
      <c r="G28" s="38"/>
      <c r="H28" s="38">
        <v>595000</v>
      </c>
      <c r="I28" s="95">
        <f t="shared" si="3"/>
        <v>654500</v>
      </c>
      <c r="J28" s="93" t="s">
        <v>46</v>
      </c>
      <c r="K28" s="78"/>
      <c r="L28" s="78"/>
      <c r="M28" s="79"/>
      <c r="N28" s="147">
        <v>53900</v>
      </c>
      <c r="O28" s="148">
        <f t="shared" si="6"/>
        <v>0.91764705882352937</v>
      </c>
      <c r="P28" s="106"/>
    </row>
    <row r="29" spans="1:16" s="1" customFormat="1" ht="28.05" customHeight="1" thickTop="1">
      <c r="A29" s="929"/>
      <c r="B29" s="39" t="s">
        <v>19</v>
      </c>
      <c r="C29" s="80">
        <f t="shared" ref="C29" si="7">SUM(C24:C28)</f>
        <v>148590</v>
      </c>
      <c r="D29" s="80">
        <f>SUM(D24:D28)</f>
        <v>1294440</v>
      </c>
      <c r="E29" s="80">
        <f>SUM(E24:E28)</f>
        <v>1098046</v>
      </c>
      <c r="F29" s="80">
        <f t="shared" ref="F29" si="8">SUM(F24:F28)</f>
        <v>3393019</v>
      </c>
      <c r="G29" s="80">
        <f t="shared" ref="G29" si="9">SUM(G24:G28)</f>
        <v>15000</v>
      </c>
      <c r="H29" s="80">
        <f t="shared" ref="H29" si="10">SUM(H24:H28)</f>
        <v>4702459</v>
      </c>
      <c r="I29" s="80">
        <f t="shared" ref="I29" si="11">SUM(I24:I28)</f>
        <v>5172705</v>
      </c>
      <c r="J29" s="80"/>
      <c r="K29" s="80">
        <f>SUM(K4:K28)</f>
        <v>53740</v>
      </c>
      <c r="L29" s="80">
        <f t="shared" ref="L29:M29" si="12">SUM(L4:L28)</f>
        <v>14102</v>
      </c>
      <c r="M29" s="80">
        <f t="shared" si="12"/>
        <v>1667287</v>
      </c>
      <c r="N29" s="147">
        <v>1735129</v>
      </c>
      <c r="O29" s="148">
        <f t="shared" si="6"/>
        <v>0.66456061190421645</v>
      </c>
      <c r="P29" s="106"/>
    </row>
    <row r="30" spans="1:16" s="1" customFormat="1" ht="33" customHeight="1">
      <c r="A30"/>
      <c r="B30" s="40" t="s">
        <v>20</v>
      </c>
      <c r="I30" s="41"/>
      <c r="J30" s="44"/>
      <c r="M30" s="48"/>
      <c r="N30" s="143"/>
      <c r="O30" s="144"/>
      <c r="P30" s="106"/>
    </row>
    <row r="32" spans="1:16">
      <c r="J32" s="150"/>
    </row>
  </sheetData>
  <mergeCells count="25">
    <mergeCell ref="K2:K3"/>
    <mergeCell ref="L2:L3"/>
    <mergeCell ref="M2:M3"/>
    <mergeCell ref="G2:G3"/>
    <mergeCell ref="A1:F1"/>
    <mergeCell ref="A2:A3"/>
    <mergeCell ref="B2:B3"/>
    <mergeCell ref="C2:D2"/>
    <mergeCell ref="E2:F2"/>
    <mergeCell ref="N2:N3"/>
    <mergeCell ref="O2:O3"/>
    <mergeCell ref="A18:B18"/>
    <mergeCell ref="A23:B23"/>
    <mergeCell ref="A24:A29"/>
    <mergeCell ref="A9:B13"/>
    <mergeCell ref="A14:B15"/>
    <mergeCell ref="A19:B19"/>
    <mergeCell ref="A21:A22"/>
    <mergeCell ref="B21:B22"/>
    <mergeCell ref="A7:B7"/>
    <mergeCell ref="A8:B8"/>
    <mergeCell ref="A17:B17"/>
    <mergeCell ref="H2:H3"/>
    <mergeCell ref="I2:I3"/>
    <mergeCell ref="J2:J3"/>
  </mergeCells>
  <phoneticPr fontId="3"/>
  <conditionalFormatting sqref="C21:C22">
    <cfRule type="expression" dxfId="290" priority="1">
      <formula>COUNTIF(#REF!,"*済*")</formula>
    </cfRule>
    <cfRule type="expression" dxfId="289" priority="2">
      <formula>COUNTIF(#REF!,"*一部*")</formula>
    </cfRule>
    <cfRule type="expression" dxfId="288" priority="3">
      <formula>COUNTIF(#REF!,"*未*")</formula>
    </cfRule>
  </conditionalFormatting>
  <conditionalFormatting sqref="E19:F22 J19:J22">
    <cfRule type="expression" dxfId="287" priority="25">
      <formula>COUNTIF(#REF!,"*済*")</formula>
    </cfRule>
    <cfRule type="expression" dxfId="286" priority="26">
      <formula>COUNTIF(#REF!,"*一部*")</formula>
    </cfRule>
    <cfRule type="expression" dxfId="285" priority="27">
      <formula>COUNTIF(#REF!,"*未*")</formula>
    </cfRule>
  </conditionalFormatting>
  <conditionalFormatting sqref="E17:G18 J17:K18">
    <cfRule type="expression" dxfId="284" priority="16">
      <formula>COUNTIF(#REF!,"*済*")</formula>
    </cfRule>
    <cfRule type="expression" dxfId="283" priority="17">
      <formula>COUNTIF(#REF!,"*一部*")</formula>
    </cfRule>
    <cfRule type="expression" dxfId="282" priority="18">
      <formula>COUNTIF(#REF!,"*未*")</formula>
    </cfRule>
  </conditionalFormatting>
  <conditionalFormatting sqref="E17:G18">
    <cfRule type="expression" dxfId="281" priority="13">
      <formula>COUNTIF(#REF!,"*済*")</formula>
    </cfRule>
    <cfRule type="expression" dxfId="280" priority="14">
      <formula>COUNTIF(#REF!,"*一部*")</formula>
    </cfRule>
    <cfRule type="expression" dxfId="279" priority="15">
      <formula>COUNTIF(#REF!,"*未*")</formula>
    </cfRule>
  </conditionalFormatting>
  <conditionalFormatting sqref="F19:F22">
    <cfRule type="expression" dxfId="278" priority="19">
      <formula>COUNTIF(#REF!,"*済*")</formula>
    </cfRule>
    <cfRule type="expression" dxfId="277" priority="20">
      <formula>COUNTIF(#REF!,"*一部*")</formula>
    </cfRule>
    <cfRule type="expression" dxfId="276" priority="21">
      <formula>COUNTIF(#REF!,"*未*")</formula>
    </cfRule>
    <cfRule type="expression" dxfId="275" priority="22">
      <formula>COUNTIF(#REF!,"*済*")</formula>
    </cfRule>
    <cfRule type="expression" dxfId="274" priority="23">
      <formula>COUNTIF(#REF!,"*一部*")</formula>
    </cfRule>
    <cfRule type="expression" dxfId="273" priority="24">
      <formula>COUNTIF(#REF!,"*未*")</formula>
    </cfRule>
  </conditionalFormatting>
  <conditionalFormatting sqref="J17:K18">
    <cfRule type="expression" dxfId="272" priority="28">
      <formula>COUNTIF(#REF!,"*済*")</formula>
    </cfRule>
    <cfRule type="expression" dxfId="271" priority="29">
      <formula>COUNTIF(#REF!,"*一部*")</formula>
    </cfRule>
    <cfRule type="expression" dxfId="270" priority="30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65" orientation="landscape" r:id="rId1"/>
  <ignoredErrors>
    <ignoredError sqref="E29" formulaRange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6598-76A5-4A21-9338-D6D6D2B22530}">
  <sheetPr codeName="Sheet7">
    <pageSetUpPr fitToPage="1"/>
  </sheetPr>
  <dimension ref="A1:AA40"/>
  <sheetViews>
    <sheetView zoomScaleNormal="100" workbookViewId="0">
      <pane xSplit="2" ySplit="3" topLeftCell="H8" activePane="bottomRight" state="frozen"/>
      <selection pane="topRight" activeCell="C1" sqref="C1"/>
      <selection pane="bottomLeft" activeCell="A4" sqref="A4"/>
      <selection pane="bottomRight" activeCell="P19" sqref="P19:R19"/>
    </sheetView>
  </sheetViews>
  <sheetFormatPr defaultRowHeight="13.2"/>
  <cols>
    <col min="1" max="1" width="9.77734375" customWidth="1"/>
    <col min="2" max="2" width="10.5546875" style="42" customWidth="1"/>
    <col min="3" max="3" width="10.77734375" style="1" customWidth="1"/>
    <col min="4" max="4" width="12.77734375" style="1" customWidth="1"/>
    <col min="5" max="5" width="9.6640625" style="274" customWidth="1"/>
    <col min="6" max="6" width="11" style="274" customWidth="1"/>
    <col min="7" max="7" width="10.77734375" style="1" customWidth="1"/>
    <col min="8" max="8" width="12.77734375" style="1" customWidth="1"/>
    <col min="9" max="9" width="7.88671875" style="274" customWidth="1"/>
    <col min="10" max="10" width="10.109375" style="274" customWidth="1"/>
    <col min="11" max="11" width="11.21875" style="1" customWidth="1"/>
    <col min="12" max="12" width="13.33203125" style="1" customWidth="1"/>
    <col min="13" max="13" width="13.6640625" style="36" customWidth="1"/>
    <col min="14" max="14" width="12.6640625" style="294" customWidth="1"/>
    <col min="15" max="15" width="25.6640625" style="44" customWidth="1"/>
    <col min="16" max="17" width="10.77734375" style="1" customWidth="1"/>
    <col min="18" max="19" width="13.44140625" style="48" customWidth="1"/>
    <col min="20" max="21" width="9.6640625" style="47" customWidth="1"/>
    <col min="22" max="22" width="9.5546875" style="106" bestFit="1" customWidth="1"/>
    <col min="23" max="23" width="13" style="47" customWidth="1"/>
    <col min="24" max="24" width="11.33203125" style="48" customWidth="1"/>
    <col min="25" max="25" width="9.109375" style="50" bestFit="1" customWidth="1"/>
    <col min="26" max="26" width="8.88671875" style="1"/>
    <col min="27" max="27" width="13.33203125" style="53" bestFit="1" customWidth="1"/>
  </cols>
  <sheetData>
    <row r="1" spans="1:27" ht="32.25" customHeight="1">
      <c r="A1" s="872" t="s">
        <v>55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V1" s="98"/>
    </row>
    <row r="2" spans="1:27" ht="20.25" customHeight="1">
      <c r="A2" s="873" t="s">
        <v>1</v>
      </c>
      <c r="B2" s="875" t="s">
        <v>2</v>
      </c>
      <c r="C2" s="876" t="s">
        <v>3</v>
      </c>
      <c r="D2" s="877"/>
      <c r="E2" s="949" t="s">
        <v>67</v>
      </c>
      <c r="F2" s="950"/>
      <c r="G2" s="877" t="s">
        <v>65</v>
      </c>
      <c r="H2" s="878"/>
      <c r="I2" s="949" t="s">
        <v>68</v>
      </c>
      <c r="J2" s="950"/>
      <c r="K2" s="879" t="s">
        <v>5</v>
      </c>
      <c r="L2" s="880" t="s">
        <v>31</v>
      </c>
      <c r="M2" s="881" t="s">
        <v>6</v>
      </c>
      <c r="N2" s="281" t="s">
        <v>70</v>
      </c>
      <c r="O2" s="882" t="s">
        <v>7</v>
      </c>
      <c r="P2" s="889" t="s">
        <v>8</v>
      </c>
      <c r="Q2" s="890" t="s">
        <v>9</v>
      </c>
      <c r="R2" s="218" t="s">
        <v>52</v>
      </c>
      <c r="S2" s="951" t="s">
        <v>51</v>
      </c>
      <c r="T2" s="799" t="s">
        <v>64</v>
      </c>
      <c r="U2" s="799" t="s">
        <v>50</v>
      </c>
      <c r="V2" s="101" t="s">
        <v>48</v>
      </c>
      <c r="W2" s="799" t="s">
        <v>35</v>
      </c>
      <c r="X2" s="48" t="s">
        <v>36</v>
      </c>
      <c r="Y2" s="50" t="s">
        <v>37</v>
      </c>
      <c r="Z2" s="52" t="s">
        <v>38</v>
      </c>
    </row>
    <row r="3" spans="1:27" s="7" customFormat="1" ht="20.25" customHeight="1" thickBot="1">
      <c r="A3" s="874"/>
      <c r="B3" s="810"/>
      <c r="C3" s="184" t="s">
        <v>11</v>
      </c>
      <c r="D3" s="4" t="s">
        <v>12</v>
      </c>
      <c r="E3" s="258" t="s">
        <v>11</v>
      </c>
      <c r="F3" s="259" t="s">
        <v>12</v>
      </c>
      <c r="G3" s="4" t="s">
        <v>11</v>
      </c>
      <c r="H3" s="5" t="s">
        <v>12</v>
      </c>
      <c r="I3" s="259" t="s">
        <v>11</v>
      </c>
      <c r="J3" s="275" t="s">
        <v>12</v>
      </c>
      <c r="K3" s="813"/>
      <c r="L3" s="815"/>
      <c r="M3" s="817"/>
      <c r="N3" s="282" t="s">
        <v>71</v>
      </c>
      <c r="O3" s="819"/>
      <c r="P3" s="821"/>
      <c r="Q3" s="823"/>
      <c r="R3" s="219" t="s">
        <v>53</v>
      </c>
      <c r="S3" s="951"/>
      <c r="T3" s="799"/>
      <c r="U3" s="799"/>
      <c r="V3" s="102" t="s">
        <v>49</v>
      </c>
      <c r="W3" s="799"/>
      <c r="X3" s="49"/>
      <c r="Y3" s="51"/>
      <c r="Z3" s="6"/>
      <c r="AA3" s="54"/>
    </row>
    <row r="4" spans="1:27" ht="25.5" customHeight="1" thickTop="1">
      <c r="A4" s="199">
        <v>45982</v>
      </c>
      <c r="B4" s="200" t="s">
        <v>13</v>
      </c>
      <c r="C4" s="168">
        <v>57735</v>
      </c>
      <c r="D4" s="11">
        <f>C4*8.5</f>
        <v>490747.5</v>
      </c>
      <c r="E4" s="260">
        <v>58180</v>
      </c>
      <c r="F4" s="260">
        <v>494530</v>
      </c>
      <c r="G4" s="11">
        <v>72948</v>
      </c>
      <c r="H4" s="12">
        <v>165391</v>
      </c>
      <c r="I4" s="276">
        <v>51534</v>
      </c>
      <c r="J4" s="276">
        <v>125682</v>
      </c>
      <c r="K4" s="13">
        <v>10000</v>
      </c>
      <c r="L4" s="13">
        <v>666139</v>
      </c>
      <c r="M4" s="20">
        <f t="shared" ref="M4:M9" si="0">L4*1.1</f>
        <v>732752.9</v>
      </c>
      <c r="N4" s="283">
        <v>630212</v>
      </c>
      <c r="O4" s="191"/>
      <c r="P4" s="252"/>
      <c r="Q4" s="253"/>
      <c r="R4" s="254"/>
      <c r="S4" s="96">
        <f>P4+Q4+R4</f>
        <v>0</v>
      </c>
      <c r="T4" s="110"/>
      <c r="U4" s="110"/>
      <c r="V4" s="103">
        <f t="shared" ref="V4:V11" si="1">H4/G4</f>
        <v>2.2672451609365574</v>
      </c>
      <c r="W4" s="3">
        <f>SUM(P4:R4)</f>
        <v>0</v>
      </c>
      <c r="X4" s="3">
        <f>M4-R4</f>
        <v>732752.9</v>
      </c>
      <c r="AA4" s="53">
        <f>(P4+Q4+R4)/M4</f>
        <v>0</v>
      </c>
    </row>
    <row r="5" spans="1:27" ht="25.05" customHeight="1">
      <c r="A5" s="201">
        <v>45989</v>
      </c>
      <c r="B5" s="202" t="s">
        <v>14</v>
      </c>
      <c r="C5" s="251">
        <v>69756</v>
      </c>
      <c r="D5" s="18">
        <f>C5*8.5</f>
        <v>592926</v>
      </c>
      <c r="E5" s="261">
        <v>69460</v>
      </c>
      <c r="F5" s="261">
        <v>590410</v>
      </c>
      <c r="G5" s="18">
        <v>416753</v>
      </c>
      <c r="H5" s="19">
        <v>861283</v>
      </c>
      <c r="I5" s="277">
        <v>350862</v>
      </c>
      <c r="J5" s="277">
        <v>701878</v>
      </c>
      <c r="K5" s="18">
        <v>5000</v>
      </c>
      <c r="L5" s="18">
        <v>1459209</v>
      </c>
      <c r="M5" s="20">
        <f t="shared" si="0"/>
        <v>1605129.9000000001</v>
      </c>
      <c r="N5" s="284">
        <v>1297288</v>
      </c>
      <c r="O5" s="192"/>
      <c r="P5" s="255"/>
      <c r="Q5" s="256"/>
      <c r="R5" s="257"/>
      <c r="S5" s="96">
        <f t="shared" ref="S5:S12" si="2">P5+Q5+R5</f>
        <v>0</v>
      </c>
      <c r="T5" s="110"/>
      <c r="U5" s="110"/>
      <c r="V5" s="103">
        <f t="shared" si="1"/>
        <v>2.0666509899148897</v>
      </c>
      <c r="W5" s="3">
        <f>SUM(P5:R5)</f>
        <v>0</v>
      </c>
      <c r="X5" s="3">
        <f>M5-R5</f>
        <v>1605129.9000000001</v>
      </c>
      <c r="Z5" s="1">
        <v>391088</v>
      </c>
      <c r="AA5" s="53">
        <f>(P5+Q5+R5)/M5</f>
        <v>0</v>
      </c>
    </row>
    <row r="6" spans="1:27" ht="22.05" customHeight="1">
      <c r="A6" s="835" t="s">
        <v>59</v>
      </c>
      <c r="B6" s="915"/>
      <c r="C6" s="228"/>
      <c r="D6" s="229"/>
      <c r="E6" s="262"/>
      <c r="F6" s="262"/>
      <c r="G6" s="228">
        <v>17200</v>
      </c>
      <c r="H6" s="229">
        <v>51600</v>
      </c>
      <c r="I6" s="276"/>
      <c r="J6" s="276"/>
      <c r="K6" s="230"/>
      <c r="L6" s="18">
        <v>51600</v>
      </c>
      <c r="M6" s="231">
        <f t="shared" si="0"/>
        <v>56760.000000000007</v>
      </c>
      <c r="N6" s="285"/>
      <c r="O6" s="232"/>
      <c r="P6" s="198"/>
      <c r="Q6" s="233">
        <v>232</v>
      </c>
      <c r="R6" s="212">
        <v>11200</v>
      </c>
      <c r="S6" s="96">
        <f t="shared" si="2"/>
        <v>11432</v>
      </c>
      <c r="T6" s="110"/>
      <c r="U6" s="110"/>
      <c r="V6" s="103">
        <f t="shared" si="1"/>
        <v>3</v>
      </c>
      <c r="W6" s="3"/>
      <c r="X6" s="3"/>
    </row>
    <row r="7" spans="1:27" ht="22.05" customHeight="1">
      <c r="A7" s="921" t="s">
        <v>60</v>
      </c>
      <c r="B7" s="922"/>
      <c r="C7" s="185"/>
      <c r="D7" s="99"/>
      <c r="E7" s="263"/>
      <c r="F7" s="263"/>
      <c r="G7" s="117">
        <v>37160</v>
      </c>
      <c r="H7" s="121">
        <v>63172</v>
      </c>
      <c r="I7" s="266"/>
      <c r="J7" s="266"/>
      <c r="K7" s="122"/>
      <c r="L7" s="121">
        <v>63172</v>
      </c>
      <c r="M7" s="124">
        <f t="shared" si="0"/>
        <v>69489.200000000012</v>
      </c>
      <c r="N7" s="286"/>
      <c r="O7" s="193"/>
      <c r="P7" s="125"/>
      <c r="Q7" s="125"/>
      <c r="R7" s="207">
        <v>0</v>
      </c>
      <c r="S7" s="96">
        <f t="shared" si="2"/>
        <v>0</v>
      </c>
      <c r="T7" s="110"/>
      <c r="U7" s="110"/>
      <c r="V7" s="103">
        <f t="shared" si="1"/>
        <v>1.7</v>
      </c>
      <c r="W7" s="3">
        <f t="shared" ref="W7:W9" si="3">SUM(P7:R7)</f>
        <v>0</v>
      </c>
      <c r="X7" s="3">
        <f>M7-R7</f>
        <v>69489.200000000012</v>
      </c>
      <c r="AA7" s="53">
        <f>(P7+Q7+R7)/M7</f>
        <v>0</v>
      </c>
    </row>
    <row r="8" spans="1:27" ht="22.05" customHeight="1">
      <c r="A8" s="904" t="s">
        <v>61</v>
      </c>
      <c r="B8" s="905"/>
      <c r="C8" s="172"/>
      <c r="D8" s="29"/>
      <c r="E8" s="264"/>
      <c r="F8" s="264"/>
      <c r="G8" s="128">
        <v>100400</v>
      </c>
      <c r="H8" s="129">
        <v>237340</v>
      </c>
      <c r="I8" s="264"/>
      <c r="J8" s="264"/>
      <c r="K8" s="130"/>
      <c r="L8" s="129">
        <v>237340</v>
      </c>
      <c r="M8" s="114">
        <f t="shared" si="0"/>
        <v>261074.00000000003</v>
      </c>
      <c r="N8" s="287"/>
      <c r="O8" s="30"/>
      <c r="P8" s="132">
        <v>886</v>
      </c>
      <c r="Q8" s="132">
        <v>4980</v>
      </c>
      <c r="R8" s="208">
        <v>34170</v>
      </c>
      <c r="S8" s="133">
        <f t="shared" si="2"/>
        <v>40036</v>
      </c>
      <c r="T8" s="110"/>
      <c r="U8" s="110"/>
      <c r="V8" s="103">
        <f t="shared" si="1"/>
        <v>2.3639442231075698</v>
      </c>
      <c r="W8" s="3"/>
      <c r="X8" s="3"/>
      <c r="AA8" s="53">
        <f>(P8+Q8+R8)/M8</f>
        <v>0.15335115714318545</v>
      </c>
    </row>
    <row r="9" spans="1:27" ht="22.05" customHeight="1">
      <c r="A9" s="827" t="s">
        <v>62</v>
      </c>
      <c r="B9" s="906"/>
      <c r="C9" s="170"/>
      <c r="D9" s="31"/>
      <c r="E9" s="265"/>
      <c r="F9" s="265"/>
      <c r="G9" s="126">
        <v>62200</v>
      </c>
      <c r="H9" s="239">
        <v>223062</v>
      </c>
      <c r="I9" s="278"/>
      <c r="J9" s="278"/>
      <c r="K9" s="31"/>
      <c r="L9" s="118">
        <v>223062</v>
      </c>
      <c r="M9" s="119">
        <f t="shared" si="0"/>
        <v>245368.2</v>
      </c>
      <c r="N9" s="283"/>
      <c r="O9" s="33"/>
      <c r="P9" s="223">
        <v>3320</v>
      </c>
      <c r="Q9" s="127">
        <v>606</v>
      </c>
      <c r="R9" s="209">
        <v>9080</v>
      </c>
      <c r="S9" s="96">
        <f t="shared" si="2"/>
        <v>13006</v>
      </c>
      <c r="T9" s="110"/>
      <c r="U9" s="110"/>
      <c r="V9" s="103">
        <f t="shared" si="1"/>
        <v>3.5862057877813505</v>
      </c>
      <c r="W9" s="3">
        <f t="shared" si="3"/>
        <v>13006</v>
      </c>
      <c r="X9" s="3">
        <f>M9-R9</f>
        <v>236288.2</v>
      </c>
      <c r="AA9" s="53" t="e">
        <f>(#REF!+Q9+R9)/M9</f>
        <v>#REF!</v>
      </c>
    </row>
    <row r="10" spans="1:27" s="1" customFormat="1" ht="22.05" customHeight="1">
      <c r="A10" s="907" t="s">
        <v>17</v>
      </c>
      <c r="B10" s="909" t="s">
        <v>56</v>
      </c>
      <c r="C10" s="220">
        <v>7900</v>
      </c>
      <c r="D10" s="99">
        <v>79000</v>
      </c>
      <c r="E10" s="266"/>
      <c r="F10" s="266"/>
      <c r="G10" s="221">
        <v>37350</v>
      </c>
      <c r="H10" s="221">
        <v>56025</v>
      </c>
      <c r="I10" s="279"/>
      <c r="J10" s="279"/>
      <c r="K10" s="99"/>
      <c r="L10" s="99">
        <v>135025</v>
      </c>
      <c r="M10" s="124">
        <v>148527.5</v>
      </c>
      <c r="N10" s="286"/>
      <c r="O10" s="193" t="s">
        <v>63</v>
      </c>
      <c r="P10" s="115"/>
      <c r="Q10" s="109"/>
      <c r="R10" s="210">
        <v>119090</v>
      </c>
      <c r="S10" s="96">
        <f t="shared" si="2"/>
        <v>119090</v>
      </c>
      <c r="T10" s="110"/>
      <c r="U10" s="110"/>
      <c r="V10" s="103">
        <f t="shared" si="1"/>
        <v>1.5</v>
      </c>
      <c r="W10" s="57"/>
      <c r="X10" s="48"/>
      <c r="Y10" s="50"/>
      <c r="AA10" s="55"/>
    </row>
    <row r="11" spans="1:27" s="1" customFormat="1" ht="22.05" customHeight="1">
      <c r="A11" s="908"/>
      <c r="B11" s="910"/>
      <c r="C11" s="186">
        <v>8100</v>
      </c>
      <c r="D11" s="222">
        <v>81000</v>
      </c>
      <c r="E11" s="267"/>
      <c r="F11" s="267"/>
      <c r="G11" s="85">
        <v>39900</v>
      </c>
      <c r="H11" s="85">
        <v>59850</v>
      </c>
      <c r="I11" s="280"/>
      <c r="J11" s="280"/>
      <c r="K11" s="100"/>
      <c r="L11" s="31">
        <v>140850</v>
      </c>
      <c r="M11" s="137">
        <v>154935</v>
      </c>
      <c r="N11" s="283"/>
      <c r="O11" s="33" t="s">
        <v>34</v>
      </c>
      <c r="P11" s="116"/>
      <c r="Q11" s="116"/>
      <c r="R11" s="211"/>
      <c r="S11" s="96">
        <f t="shared" si="2"/>
        <v>0</v>
      </c>
      <c r="T11" s="110"/>
      <c r="U11" s="110"/>
      <c r="V11" s="103">
        <f t="shared" si="1"/>
        <v>1.5</v>
      </c>
      <c r="W11" s="58">
        <f>SUM(R10:R11)</f>
        <v>119090</v>
      </c>
      <c r="X11" s="48"/>
      <c r="Y11" s="50"/>
      <c r="AA11" s="55">
        <f>W11/(M10+M11)</f>
        <v>0.39243728632038555</v>
      </c>
    </row>
    <row r="12" spans="1:27" s="1" customFormat="1" ht="22.05" customHeight="1">
      <c r="A12" s="855" t="s">
        <v>5</v>
      </c>
      <c r="B12" s="856"/>
      <c r="C12" s="195"/>
      <c r="D12" s="134"/>
      <c r="E12" s="268"/>
      <c r="F12" s="268"/>
      <c r="G12" s="134">
        <v>100000</v>
      </c>
      <c r="H12" s="134">
        <v>460000</v>
      </c>
      <c r="I12" s="268"/>
      <c r="J12" s="268"/>
      <c r="K12" s="134"/>
      <c r="L12" s="134">
        <v>460000</v>
      </c>
      <c r="M12" s="196">
        <f>L12*1.1</f>
        <v>506000.00000000006</v>
      </c>
      <c r="N12" s="288"/>
      <c r="O12" s="197" t="s">
        <v>54</v>
      </c>
      <c r="P12" s="108">
        <v>10780</v>
      </c>
      <c r="Q12" s="108">
        <v>1881</v>
      </c>
      <c r="R12" s="205">
        <v>192210</v>
      </c>
      <c r="S12" s="96">
        <f t="shared" si="2"/>
        <v>204871</v>
      </c>
      <c r="T12" s="110"/>
      <c r="U12" s="110"/>
      <c r="V12" s="104"/>
      <c r="W12" s="47"/>
      <c r="X12" s="48"/>
      <c r="Y12" s="50"/>
      <c r="AA12" s="55"/>
    </row>
    <row r="13" spans="1:27" s="1" customFormat="1" ht="43.8" customHeight="1">
      <c r="A13" s="240"/>
      <c r="B13" s="241"/>
      <c r="C13" s="195"/>
      <c r="D13" s="134"/>
      <c r="E13" s="268"/>
      <c r="F13" s="268"/>
      <c r="G13" s="134"/>
      <c r="H13" s="134"/>
      <c r="I13" s="268"/>
      <c r="J13" s="268"/>
      <c r="K13" s="134"/>
      <c r="L13" s="134"/>
      <c r="M13" s="295" t="s">
        <v>66</v>
      </c>
      <c r="N13" s="296" t="s">
        <v>69</v>
      </c>
      <c r="O13" s="197"/>
      <c r="P13" s="108"/>
      <c r="Q13" s="108"/>
      <c r="R13" s="205"/>
      <c r="S13" s="96"/>
      <c r="T13" s="110"/>
      <c r="U13" s="110"/>
      <c r="V13" s="104"/>
      <c r="W13" s="47"/>
      <c r="X13" s="48"/>
      <c r="Y13" s="50"/>
      <c r="AA13" s="55"/>
    </row>
    <row r="14" spans="1:27" s="1" customFormat="1" ht="28.05" customHeight="1">
      <c r="A14" s="852" t="s">
        <v>57</v>
      </c>
      <c r="B14" s="224" t="s">
        <v>28</v>
      </c>
      <c r="C14" s="187">
        <f>SUM(C4:C5)</f>
        <v>127491</v>
      </c>
      <c r="D14" s="187">
        <f>SUM(D4:D5)</f>
        <v>1083673.5</v>
      </c>
      <c r="E14" s="269"/>
      <c r="F14" s="269"/>
      <c r="G14" s="87">
        <f>SUM(G4:G5)</f>
        <v>489701</v>
      </c>
      <c r="H14" s="87">
        <f>SUM(H4:H5)</f>
        <v>1026674</v>
      </c>
      <c r="I14" s="269"/>
      <c r="J14" s="269"/>
      <c r="K14" s="87"/>
      <c r="L14" s="87">
        <f>L4+L5</f>
        <v>2125348</v>
      </c>
      <c r="M14" s="225">
        <f>M4+M5</f>
        <v>2337882.8000000003</v>
      </c>
      <c r="N14" s="289">
        <v>3123700</v>
      </c>
      <c r="O14" s="226" t="s">
        <v>29</v>
      </c>
      <c r="P14" s="297"/>
      <c r="Q14" s="298"/>
      <c r="R14" s="299"/>
      <c r="S14" s="97">
        <v>1393748</v>
      </c>
      <c r="T14" s="111">
        <f>S14/L14</f>
        <v>0.6557740191253385</v>
      </c>
      <c r="U14" s="111">
        <f>(M14-S14)/M14</f>
        <v>0.40384180079514687</v>
      </c>
      <c r="V14" s="105"/>
      <c r="W14" s="47"/>
      <c r="X14" s="3"/>
      <c r="Y14" s="50"/>
      <c r="AA14" s="55"/>
    </row>
    <row r="15" spans="1:27" s="1" customFormat="1" ht="28.05" customHeight="1">
      <c r="A15" s="791"/>
      <c r="B15" s="234"/>
      <c r="C15" s="235"/>
      <c r="D15" s="34"/>
      <c r="E15" s="270"/>
      <c r="F15" s="270"/>
      <c r="G15" s="34">
        <v>17200</v>
      </c>
      <c r="H15" s="34">
        <v>51600</v>
      </c>
      <c r="I15" s="270"/>
      <c r="J15" s="270"/>
      <c r="K15" s="34"/>
      <c r="L15" s="34">
        <v>51600</v>
      </c>
      <c r="M15" s="236">
        <v>56760.000000000007</v>
      </c>
      <c r="N15" s="290"/>
      <c r="O15" s="237" t="s">
        <v>59</v>
      </c>
      <c r="P15" s="246"/>
      <c r="Q15" s="243">
        <v>232</v>
      </c>
      <c r="R15" s="238">
        <v>11200</v>
      </c>
      <c r="S15" s="97">
        <v>11200</v>
      </c>
      <c r="T15" s="111">
        <f t="shared" ref="T15:T19" si="4">S15/L15</f>
        <v>0.21705426356589147</v>
      </c>
      <c r="U15" s="111"/>
      <c r="V15" s="105"/>
      <c r="W15" s="47"/>
      <c r="X15" s="3"/>
      <c r="Y15" s="50"/>
      <c r="AA15" s="55"/>
    </row>
    <row r="16" spans="1:27" s="1" customFormat="1" ht="28.05" customHeight="1">
      <c r="A16" s="853"/>
      <c r="B16" s="918" t="s">
        <v>5</v>
      </c>
      <c r="C16" s="188"/>
      <c r="D16" s="90"/>
      <c r="E16" s="271"/>
      <c r="F16" s="271"/>
      <c r="G16" s="90">
        <f>SUM(G7:G9)</f>
        <v>199760</v>
      </c>
      <c r="H16" s="90">
        <f>SUM(H7:H9)</f>
        <v>523574</v>
      </c>
      <c r="I16" s="271"/>
      <c r="J16" s="271"/>
      <c r="K16" s="90"/>
      <c r="L16" s="90">
        <v>523574</v>
      </c>
      <c r="M16" s="213">
        <v>575931</v>
      </c>
      <c r="N16" s="290">
        <v>650984</v>
      </c>
      <c r="O16" s="214" t="s">
        <v>30</v>
      </c>
      <c r="P16" s="247">
        <v>4206</v>
      </c>
      <c r="Q16" s="249">
        <v>5586</v>
      </c>
      <c r="R16" s="250">
        <v>43250</v>
      </c>
      <c r="S16" s="97">
        <v>147381</v>
      </c>
      <c r="T16" s="111">
        <f t="shared" si="4"/>
        <v>0.28149029554561533</v>
      </c>
      <c r="U16" s="111">
        <f>(M16-S16)/M16</f>
        <v>0.74409955359235747</v>
      </c>
      <c r="V16" s="105"/>
      <c r="W16" s="47"/>
      <c r="X16" s="3"/>
      <c r="Y16" s="50"/>
      <c r="AA16" s="55"/>
    </row>
    <row r="17" spans="1:27" s="1" customFormat="1" ht="28.05" customHeight="1">
      <c r="A17" s="853"/>
      <c r="B17" s="919"/>
      <c r="C17" s="90">
        <f>SUM(C10:C11)</f>
        <v>16000</v>
      </c>
      <c r="D17" s="90">
        <f>SUM(D10:D11)</f>
        <v>160000</v>
      </c>
      <c r="E17" s="271"/>
      <c r="F17" s="271"/>
      <c r="G17" s="90">
        <f>SUM(G10:G11)</f>
        <v>77250</v>
      </c>
      <c r="H17" s="90">
        <f>SUM(H10:H11)</f>
        <v>115875</v>
      </c>
      <c r="I17" s="271"/>
      <c r="J17" s="271"/>
      <c r="K17" s="90"/>
      <c r="L17" s="90">
        <v>275875</v>
      </c>
      <c r="M17" s="213">
        <v>303463</v>
      </c>
      <c r="N17" s="291">
        <v>332775</v>
      </c>
      <c r="O17" s="215" t="s">
        <v>58</v>
      </c>
      <c r="P17" s="247"/>
      <c r="R17" s="77">
        <v>119090</v>
      </c>
      <c r="S17" s="97">
        <v>119090</v>
      </c>
      <c r="T17" s="111">
        <f t="shared" si="4"/>
        <v>0.43168101495242411</v>
      </c>
      <c r="U17" s="111">
        <f>(M17-S17)/M17</f>
        <v>0.60756336027785929</v>
      </c>
      <c r="V17" s="105"/>
      <c r="W17" s="47"/>
      <c r="X17" s="3"/>
      <c r="Y17" s="50"/>
      <c r="AA17" s="55"/>
    </row>
    <row r="18" spans="1:27" s="1" customFormat="1" ht="28.05" customHeight="1" thickBot="1">
      <c r="A18" s="853"/>
      <c r="B18" s="920"/>
      <c r="C18" s="189"/>
      <c r="D18" s="38"/>
      <c r="E18" s="272"/>
      <c r="F18" s="272"/>
      <c r="G18" s="38">
        <v>100000</v>
      </c>
      <c r="H18" s="38">
        <v>460000</v>
      </c>
      <c r="I18" s="272"/>
      <c r="J18" s="272"/>
      <c r="K18" s="38"/>
      <c r="L18" s="38">
        <v>460000</v>
      </c>
      <c r="M18" s="216">
        <f>L18*1.1</f>
        <v>506000.00000000006</v>
      </c>
      <c r="N18" s="292">
        <v>595000</v>
      </c>
      <c r="O18" s="217" t="s">
        <v>46</v>
      </c>
      <c r="P18" s="248">
        <v>10780</v>
      </c>
      <c r="Q18" s="244">
        <v>1881</v>
      </c>
      <c r="R18" s="79">
        <v>192210</v>
      </c>
      <c r="S18" s="97">
        <f>P18+Q18+R18</f>
        <v>204871</v>
      </c>
      <c r="T18" s="111">
        <f t="shared" si="4"/>
        <v>0.44537173913043476</v>
      </c>
      <c r="U18" s="111">
        <f>(M18-S18)/M18</f>
        <v>0.59511660079051387</v>
      </c>
      <c r="V18" s="105"/>
      <c r="W18" s="47"/>
      <c r="X18" s="3"/>
      <c r="Y18" s="50"/>
      <c r="AA18" s="55"/>
    </row>
    <row r="19" spans="1:27" s="1" customFormat="1" ht="28.05" customHeight="1" thickTop="1">
      <c r="A19" s="854"/>
      <c r="B19" s="227" t="s">
        <v>19</v>
      </c>
      <c r="C19" s="190"/>
      <c r="D19" s="80"/>
      <c r="E19" s="273"/>
      <c r="F19" s="273"/>
      <c r="G19" s="80"/>
      <c r="H19" s="80"/>
      <c r="I19" s="273"/>
      <c r="J19" s="273"/>
      <c r="K19" s="80"/>
      <c r="L19" s="80">
        <f>SUM(L14:L18)</f>
        <v>3436397</v>
      </c>
      <c r="M19" s="80">
        <f>SUM(M14:M18)</f>
        <v>3780036.8000000003</v>
      </c>
      <c r="N19" s="273">
        <f>SUM(N14:N18)</f>
        <v>4702459</v>
      </c>
      <c r="O19" s="194"/>
      <c r="P19" s="107">
        <f t="shared" ref="P19:Q19" si="5">SUM(P14:P18)</f>
        <v>14986</v>
      </c>
      <c r="Q19" s="107">
        <f t="shared" si="5"/>
        <v>7699</v>
      </c>
      <c r="R19" s="107">
        <f>SUM(R14:R18)</f>
        <v>365750</v>
      </c>
      <c r="S19" s="97">
        <v>1735129</v>
      </c>
      <c r="T19" s="111">
        <f t="shared" si="4"/>
        <v>0.5049268172449225</v>
      </c>
      <c r="U19" s="111">
        <f>(M19-S19)/M19</f>
        <v>0.54097563282981798</v>
      </c>
      <c r="V19" s="105"/>
      <c r="W19" s="47"/>
      <c r="X19" s="3"/>
      <c r="Y19" s="50"/>
      <c r="AA19" s="55"/>
    </row>
    <row r="20" spans="1:27" s="1" customFormat="1" ht="33" customHeight="1">
      <c r="A20"/>
      <c r="B20" s="40" t="s">
        <v>20</v>
      </c>
      <c r="E20" s="274"/>
      <c r="F20" s="274"/>
      <c r="I20" s="274"/>
      <c r="J20" s="274"/>
      <c r="M20" s="41"/>
      <c r="N20" s="293"/>
      <c r="O20" s="44"/>
      <c r="R20" s="48">
        <v>2300000</v>
      </c>
      <c r="S20" s="48"/>
      <c r="T20" s="47"/>
      <c r="U20" s="47"/>
      <c r="V20" s="106"/>
      <c r="W20" s="47"/>
      <c r="X20" s="48"/>
      <c r="Y20" s="50"/>
      <c r="AA20" s="55"/>
    </row>
    <row r="22" spans="1:27" ht="48.6" customHeight="1">
      <c r="B22" s="300" t="s">
        <v>72</v>
      </c>
      <c r="C22" s="301"/>
      <c r="D22" s="301"/>
    </row>
    <row r="23" spans="1:27" ht="15" customHeight="1">
      <c r="B23" s="40" t="s">
        <v>74</v>
      </c>
    </row>
    <row r="24" spans="1:27" ht="15" customHeight="1">
      <c r="B24" s="40" t="s">
        <v>80</v>
      </c>
    </row>
    <row r="25" spans="1:27" ht="15" customHeight="1">
      <c r="B25" s="40" t="s">
        <v>76</v>
      </c>
    </row>
    <row r="26" spans="1:27" ht="15" customHeight="1">
      <c r="B26" s="40" t="s">
        <v>82</v>
      </c>
    </row>
    <row r="27" spans="1:27" ht="15" customHeight="1">
      <c r="B27" s="42" t="s">
        <v>73</v>
      </c>
    </row>
    <row r="28" spans="1:27" ht="15" customHeight="1">
      <c r="B28" s="40" t="s">
        <v>83</v>
      </c>
    </row>
    <row r="29" spans="1:27" ht="15" customHeight="1">
      <c r="B29" s="40" t="s">
        <v>75</v>
      </c>
    </row>
    <row r="30" spans="1:27" ht="15" customHeight="1">
      <c r="B30" s="40"/>
    </row>
    <row r="31" spans="1:27" ht="15" customHeight="1">
      <c r="B31" s="40" t="s">
        <v>77</v>
      </c>
    </row>
    <row r="32" spans="1:27" ht="15" customHeight="1"/>
    <row r="33" spans="2:2" ht="15" customHeight="1">
      <c r="B33" s="40" t="s">
        <v>78</v>
      </c>
    </row>
    <row r="34" spans="2:2" ht="15" customHeight="1">
      <c r="B34" s="40" t="s">
        <v>81</v>
      </c>
    </row>
    <row r="35" spans="2:2" ht="15" customHeight="1">
      <c r="B35" s="40" t="s">
        <v>79</v>
      </c>
    </row>
    <row r="36" spans="2:2" ht="15" customHeight="1"/>
    <row r="37" spans="2:2" ht="15" customHeight="1">
      <c r="B37" s="40" t="s">
        <v>84</v>
      </c>
    </row>
    <row r="38" spans="2:2" ht="15" customHeight="1"/>
    <row r="39" spans="2:2" ht="15" customHeight="1">
      <c r="B39" s="40" t="s">
        <v>85</v>
      </c>
    </row>
    <row r="40" spans="2:2">
      <c r="B40" s="42" t="s">
        <v>86</v>
      </c>
    </row>
  </sheetData>
  <mergeCells count="26">
    <mergeCell ref="A14:A19"/>
    <mergeCell ref="B16:B18"/>
    <mergeCell ref="A1:R1"/>
    <mergeCell ref="A7:B7"/>
    <mergeCell ref="A8:B8"/>
    <mergeCell ref="A9:B9"/>
    <mergeCell ref="A10:A11"/>
    <mergeCell ref="B10:B11"/>
    <mergeCell ref="A12:B12"/>
    <mergeCell ref="A6:B6"/>
    <mergeCell ref="A2:A3"/>
    <mergeCell ref="B2:B3"/>
    <mergeCell ref="C2:D2"/>
    <mergeCell ref="G2:H2"/>
    <mergeCell ref="K2:K3"/>
    <mergeCell ref="E2:F2"/>
    <mergeCell ref="I2:J2"/>
    <mergeCell ref="U2:U3"/>
    <mergeCell ref="W2:W3"/>
    <mergeCell ref="L2:L3"/>
    <mergeCell ref="M2:M3"/>
    <mergeCell ref="O2:O3"/>
    <mergeCell ref="P2:P3"/>
    <mergeCell ref="Q2:Q3"/>
    <mergeCell ref="S2:S3"/>
    <mergeCell ref="T2:T3"/>
  </mergeCells>
  <phoneticPr fontId="3"/>
  <conditionalFormatting sqref="G9:J11 O9:O11 C10:C11">
    <cfRule type="expression" dxfId="269" priority="7">
      <formula>COUNTIF(#REF!,"*済*")</formula>
    </cfRule>
    <cfRule type="expression" dxfId="268" priority="8">
      <formula>COUNTIF(#REF!,"*一部*")</formula>
    </cfRule>
    <cfRule type="expression" dxfId="267" priority="9">
      <formula>COUNTIF(#REF!,"*未*")</formula>
    </cfRule>
  </conditionalFormatting>
  <conditionalFormatting sqref="G7:K8 O7:P8">
    <cfRule type="expression" dxfId="266" priority="13">
      <formula>COUNTIF(#REF!,"*済*")</formula>
    </cfRule>
    <cfRule type="expression" dxfId="265" priority="14">
      <formula>COUNTIF(#REF!,"*一部*")</formula>
    </cfRule>
    <cfRule type="expression" dxfId="264" priority="15">
      <formula>COUNTIF(#REF!,"*未*")</formula>
    </cfRule>
  </conditionalFormatting>
  <conditionalFormatting sqref="G7:L8">
    <cfRule type="expression" dxfId="263" priority="4">
      <formula>COUNTIF(#REF!,"*済*")</formula>
    </cfRule>
    <cfRule type="expression" dxfId="262" priority="5">
      <formula>COUNTIF(#REF!,"*一部*")</formula>
    </cfRule>
    <cfRule type="expression" dxfId="261" priority="6">
      <formula>COUNTIF(#REF!,"*未*")</formula>
    </cfRule>
  </conditionalFormatting>
  <conditionalFormatting sqref="H9:J11">
    <cfRule type="expression" dxfId="260" priority="16">
      <formula>COUNTIF(#REF!,"*済*")</formula>
    </cfRule>
    <cfRule type="expression" dxfId="259" priority="17">
      <formula>COUNTIF(#REF!,"*一部*")</formula>
    </cfRule>
    <cfRule type="expression" dxfId="258" priority="18">
      <formula>COUNTIF(#REF!,"*未*")</formula>
    </cfRule>
    <cfRule type="expression" dxfId="257" priority="19">
      <formula>COUNTIF(#REF!,"*済*")</formula>
    </cfRule>
    <cfRule type="expression" dxfId="256" priority="20">
      <formula>COUNTIF(#REF!,"*一部*")</formula>
    </cfRule>
    <cfRule type="expression" dxfId="255" priority="21">
      <formula>COUNTIF(#REF!,"*未*")</formula>
    </cfRule>
  </conditionalFormatting>
  <conditionalFormatting sqref="L7:L8">
    <cfRule type="expression" dxfId="254" priority="1">
      <formula>COUNTIF(#REF!,"*済*")</formula>
    </cfRule>
    <cfRule type="expression" dxfId="253" priority="2">
      <formula>COUNTIF(#REF!,"*一部*")</formula>
    </cfRule>
    <cfRule type="expression" dxfId="252" priority="3">
      <formula>COUNTIF(#REF!,"*未*")</formula>
    </cfRule>
  </conditionalFormatting>
  <conditionalFormatting sqref="O7:P8">
    <cfRule type="expression" dxfId="251" priority="22">
      <formula>COUNTIF(#REF!,"*済*")</formula>
    </cfRule>
    <cfRule type="expression" dxfId="250" priority="23">
      <formula>COUNTIF(#REF!,"*一部*")</formula>
    </cfRule>
    <cfRule type="expression" dxfId="249" priority="24">
      <formula>COUNTIF(#REF!,"*未*")</formula>
    </cfRule>
  </conditionalFormatting>
  <printOptions horizontalCentered="1"/>
  <pageMargins left="0" right="0" top="0.74803149606299213" bottom="0.19685039370078741" header="0.31496062992125984" footer="0"/>
  <pageSetup paperSize="9" scale="6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D0BE-A846-49E7-937D-7E4D575F642B}">
  <sheetPr>
    <pageSetUpPr fitToPage="1"/>
  </sheetPr>
  <dimension ref="A1:Q32"/>
  <sheetViews>
    <sheetView topLeftCell="H1" zoomScale="96" zoomScaleNormal="96" workbookViewId="0">
      <pane ySplit="3" topLeftCell="A26" activePane="bottomLeft" state="frozen"/>
      <selection activeCell="D1" sqref="D1"/>
      <selection pane="bottomLeft" activeCell="L45" sqref="L45"/>
    </sheetView>
  </sheetViews>
  <sheetFormatPr defaultRowHeight="13.2"/>
  <cols>
    <col min="1" max="1" width="9.77734375" customWidth="1"/>
    <col min="2" max="2" width="10.5546875" style="42" customWidth="1"/>
    <col min="3" max="3" width="10.6640625" style="502" customWidth="1"/>
    <col min="4" max="6" width="12.6640625" style="502" customWidth="1"/>
    <col min="7" max="7" width="10.33203125" style="502" customWidth="1"/>
    <col min="8" max="8" width="13.33203125" style="502" customWidth="1"/>
    <col min="9" max="9" width="13.6640625" style="570" customWidth="1"/>
    <col min="10" max="10" width="45.2187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0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58" t="s">
        <v>5</v>
      </c>
      <c r="H2" s="960" t="s">
        <v>31</v>
      </c>
      <c r="I2" s="962" t="s">
        <v>6</v>
      </c>
      <c r="J2" s="964" t="s">
        <v>7</v>
      </c>
      <c r="K2" s="966" t="s">
        <v>8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59"/>
      <c r="H3" s="961"/>
      <c r="I3" s="963"/>
      <c r="J3" s="965"/>
      <c r="K3" s="967"/>
      <c r="L3" s="953"/>
      <c r="M3" s="955"/>
      <c r="N3" s="508"/>
      <c r="O3" s="509"/>
      <c r="P3" s="509"/>
      <c r="Q3" s="509"/>
    </row>
    <row r="4" spans="1:17" ht="25.5" customHeight="1" thickTop="1">
      <c r="A4" s="8">
        <v>45947</v>
      </c>
      <c r="B4" s="9" t="s">
        <v>13</v>
      </c>
      <c r="C4" s="10">
        <v>58180</v>
      </c>
      <c r="D4" s="11">
        <f>C4*8.5</f>
        <v>494530</v>
      </c>
      <c r="E4" s="11">
        <v>62841</v>
      </c>
      <c r="F4" s="12">
        <f>E4*2</f>
        <v>125682</v>
      </c>
      <c r="G4" s="13">
        <v>10000</v>
      </c>
      <c r="H4" s="13">
        <f>SUM(G4,F4,D4)</f>
        <v>630212</v>
      </c>
      <c r="I4" s="656">
        <f>H4*1.1</f>
        <v>693233.20000000007</v>
      </c>
      <c r="J4" s="14"/>
      <c r="K4" s="616">
        <v>32560</v>
      </c>
      <c r="L4" s="616">
        <v>3741</v>
      </c>
      <c r="M4" s="561">
        <v>241474</v>
      </c>
      <c r="N4" s="505">
        <f t="shared" ref="N4:N16" si="0">M4/I4</f>
        <v>0.34833011459924307</v>
      </c>
      <c r="O4" s="1"/>
      <c r="P4" s="1"/>
      <c r="Q4" s="1"/>
    </row>
    <row r="5" spans="1:17" ht="25.05" customHeight="1">
      <c r="A5" s="15">
        <v>45954</v>
      </c>
      <c r="B5" s="16" t="s">
        <v>14</v>
      </c>
      <c r="C5" s="17">
        <v>69460</v>
      </c>
      <c r="D5" s="18">
        <f>C5*8.5</f>
        <v>590410</v>
      </c>
      <c r="E5" s="18">
        <v>350587</v>
      </c>
      <c r="F5" s="19">
        <v>701329</v>
      </c>
      <c r="G5" s="18">
        <v>5000</v>
      </c>
      <c r="H5" s="18">
        <f>SUM(G5,F5,D5)</f>
        <v>1296739</v>
      </c>
      <c r="I5" s="20">
        <f>H5*1.1</f>
        <v>1426412.9000000001</v>
      </c>
      <c r="J5" s="619"/>
      <c r="K5" s="642">
        <v>48550</v>
      </c>
      <c r="L5" s="642">
        <v>4270</v>
      </c>
      <c r="M5" s="643">
        <v>338268</v>
      </c>
      <c r="N5" s="505">
        <f t="shared" si="0"/>
        <v>0.23714592037130341</v>
      </c>
    </row>
    <row r="6" spans="1:17" ht="22.05" customHeight="1">
      <c r="A6" s="15"/>
      <c r="B6" s="21"/>
      <c r="C6" s="82"/>
      <c r="D6" s="82"/>
      <c r="E6" s="82"/>
      <c r="F6" s="620"/>
      <c r="G6" s="82"/>
      <c r="H6" s="82"/>
      <c r="I6" s="621"/>
      <c r="J6" s="528"/>
      <c r="K6" s="529"/>
      <c r="L6" s="529"/>
      <c r="M6" s="530"/>
    </row>
    <row r="7" spans="1:17" ht="22.05" customHeight="1">
      <c r="A7" s="855" t="s">
        <v>15</v>
      </c>
      <c r="B7" s="933"/>
      <c r="C7" s="531"/>
      <c r="D7" s="531"/>
      <c r="E7" s="18">
        <v>40000</v>
      </c>
      <c r="F7" s="19">
        <f>E7*4</f>
        <v>160000</v>
      </c>
      <c r="G7" s="19"/>
      <c r="H7" s="19">
        <f>SUM(G7,F7)</f>
        <v>160000</v>
      </c>
      <c r="I7" s="623">
        <f>H7*1.1</f>
        <v>176000</v>
      </c>
      <c r="J7" s="25" t="s">
        <v>256</v>
      </c>
      <c r="K7" s="533"/>
      <c r="L7" s="533"/>
      <c r="M7" s="534">
        <v>112000</v>
      </c>
      <c r="N7" s="505">
        <f t="shared" si="0"/>
        <v>0.63636363636363635</v>
      </c>
    </row>
    <row r="8" spans="1:17" ht="22.05" customHeight="1">
      <c r="A8" s="931"/>
      <c r="B8" s="934"/>
      <c r="C8" s="622"/>
      <c r="D8" s="622"/>
      <c r="E8" s="22">
        <v>40000</v>
      </c>
      <c r="F8" s="23">
        <f>E8*4</f>
        <v>160000</v>
      </c>
      <c r="G8" s="22"/>
      <c r="H8" s="22">
        <f>SUM(G8,F8)</f>
        <v>160000</v>
      </c>
      <c r="I8" s="623">
        <f>H8*1.1</f>
        <v>176000</v>
      </c>
      <c r="J8" s="25" t="s">
        <v>257</v>
      </c>
      <c r="K8" s="657"/>
      <c r="L8" s="658"/>
      <c r="M8" s="534">
        <v>132000</v>
      </c>
      <c r="N8" s="505">
        <f t="shared" si="0"/>
        <v>0.75</v>
      </c>
    </row>
    <row r="9" spans="1:17" ht="22.05" customHeight="1">
      <c r="A9" s="931"/>
      <c r="B9" s="934"/>
      <c r="C9" s="531"/>
      <c r="D9" s="531"/>
      <c r="E9" s="18">
        <v>40000</v>
      </c>
      <c r="F9" s="19">
        <f>E9*4</f>
        <v>160000</v>
      </c>
      <c r="G9" s="19"/>
      <c r="H9" s="19">
        <f>SUM(G9,F9)</f>
        <v>160000</v>
      </c>
      <c r="I9" s="623">
        <f>H9*1.1</f>
        <v>176000</v>
      </c>
      <c r="J9" s="25" t="s">
        <v>258</v>
      </c>
      <c r="K9" s="657"/>
      <c r="L9" s="658"/>
      <c r="M9" s="534">
        <v>132000</v>
      </c>
      <c r="N9" s="505">
        <f t="shared" si="0"/>
        <v>0.75</v>
      </c>
    </row>
    <row r="10" spans="1:17" ht="22.05" customHeight="1">
      <c r="A10" s="931"/>
      <c r="B10" s="934"/>
      <c r="C10" s="531"/>
      <c r="D10" s="531"/>
      <c r="E10" s="18">
        <v>40000</v>
      </c>
      <c r="F10" s="19">
        <f t="shared" ref="F10:F13" si="1">E10*4</f>
        <v>160000</v>
      </c>
      <c r="G10" s="19"/>
      <c r="H10" s="19">
        <f>SUM(G10,F10)</f>
        <v>160000</v>
      </c>
      <c r="I10" s="623">
        <f>H10*1.1</f>
        <v>176000</v>
      </c>
      <c r="J10" s="25" t="s">
        <v>259</v>
      </c>
      <c r="K10" s="657"/>
      <c r="L10" s="658"/>
      <c r="M10" s="534">
        <v>132000</v>
      </c>
      <c r="N10" s="505">
        <f t="shared" si="0"/>
        <v>0.75</v>
      </c>
    </row>
    <row r="11" spans="1:17" ht="22.05" customHeight="1">
      <c r="A11" s="827"/>
      <c r="B11" s="939"/>
      <c r="C11" s="531"/>
      <c r="D11" s="531"/>
      <c r="E11" s="18">
        <v>40000</v>
      </c>
      <c r="F11" s="19">
        <f t="shared" si="1"/>
        <v>160000</v>
      </c>
      <c r="G11" s="19"/>
      <c r="H11" s="19">
        <f>SUM(G11,F11)</f>
        <v>160000</v>
      </c>
      <c r="I11" s="623">
        <f>H11*1.1</f>
        <v>176000</v>
      </c>
      <c r="J11" s="25" t="s">
        <v>260</v>
      </c>
      <c r="K11" s="657"/>
      <c r="L11" s="658"/>
      <c r="M11" s="534">
        <v>132000</v>
      </c>
      <c r="N11" s="505">
        <f t="shared" si="0"/>
        <v>0.75</v>
      </c>
    </row>
    <row r="12" spans="1:17" ht="22.05" customHeight="1">
      <c r="A12" s="855" t="s">
        <v>16</v>
      </c>
      <c r="B12" s="933"/>
      <c r="C12" s="622"/>
      <c r="D12" s="622"/>
      <c r="E12" s="22">
        <v>10000</v>
      </c>
      <c r="F12" s="19">
        <f t="shared" si="1"/>
        <v>40000</v>
      </c>
      <c r="G12" s="22"/>
      <c r="H12" s="22">
        <f>E12*4</f>
        <v>40000</v>
      </c>
      <c r="I12" s="623">
        <v>44000</v>
      </c>
      <c r="J12" s="25" t="s">
        <v>248</v>
      </c>
      <c r="K12" s="533"/>
      <c r="L12" s="533"/>
      <c r="M12" s="534">
        <v>16800</v>
      </c>
      <c r="N12" s="505">
        <f t="shared" si="0"/>
        <v>0.38181818181818183</v>
      </c>
    </row>
    <row r="13" spans="1:17" ht="22.05" customHeight="1">
      <c r="A13" s="827"/>
      <c r="B13" s="939"/>
      <c r="C13" s="622"/>
      <c r="D13" s="622"/>
      <c r="E13" s="22">
        <v>10000</v>
      </c>
      <c r="F13" s="19">
        <f t="shared" si="1"/>
        <v>40000</v>
      </c>
      <c r="G13" s="22"/>
      <c r="H13" s="22">
        <f>E13*4</f>
        <v>40000</v>
      </c>
      <c r="I13" s="623">
        <v>44000</v>
      </c>
      <c r="J13" s="25" t="s">
        <v>249</v>
      </c>
      <c r="K13" s="533"/>
      <c r="L13" s="533"/>
      <c r="M13" s="534">
        <v>0</v>
      </c>
      <c r="N13" s="505">
        <f t="shared" si="0"/>
        <v>0</v>
      </c>
    </row>
    <row r="14" spans="1:17" ht="22.05" customHeight="1">
      <c r="A14" s="968" t="s">
        <v>261</v>
      </c>
      <c r="B14" s="969"/>
      <c r="C14" s="622"/>
      <c r="D14" s="622"/>
      <c r="E14" s="22">
        <v>36500</v>
      </c>
      <c r="F14" s="19">
        <f>E14*6</f>
        <v>219000</v>
      </c>
      <c r="G14" s="22"/>
      <c r="H14" s="22">
        <f>SUM(G14,F14)</f>
        <v>219000</v>
      </c>
      <c r="I14" s="623">
        <f>H14*1.1</f>
        <v>240900.00000000003</v>
      </c>
      <c r="J14" s="25" t="s">
        <v>262</v>
      </c>
      <c r="K14" s="533">
        <v>9040</v>
      </c>
      <c r="L14" s="533">
        <v>3350</v>
      </c>
      <c r="M14" s="534">
        <v>83100</v>
      </c>
      <c r="N14" s="505">
        <f t="shared" si="0"/>
        <v>0.34495641344956407</v>
      </c>
    </row>
    <row r="15" spans="1:17" ht="22.05" customHeight="1">
      <c r="A15" s="970"/>
      <c r="B15" s="971"/>
      <c r="C15" s="622"/>
      <c r="D15" s="622"/>
      <c r="E15" s="22">
        <v>16200</v>
      </c>
      <c r="F15" s="19">
        <f>E15*6</f>
        <v>97200</v>
      </c>
      <c r="G15" s="22"/>
      <c r="H15" s="22">
        <f>SUM(G15,F15)</f>
        <v>97200</v>
      </c>
      <c r="I15" s="623">
        <f>H15*1.1</f>
        <v>106920.00000000001</v>
      </c>
      <c r="J15" s="25" t="s">
        <v>263</v>
      </c>
      <c r="K15" s="533">
        <v>3900</v>
      </c>
      <c r="L15" s="533">
        <v>915</v>
      </c>
      <c r="M15" s="534">
        <v>18000</v>
      </c>
      <c r="N15" s="505">
        <f t="shared" si="0"/>
        <v>0.16835016835016833</v>
      </c>
    </row>
    <row r="16" spans="1:17" ht="22.05" customHeight="1">
      <c r="A16" s="855" t="s">
        <v>264</v>
      </c>
      <c r="B16" s="933"/>
      <c r="C16" s="622"/>
      <c r="D16" s="622"/>
      <c r="E16" s="22">
        <v>30000</v>
      </c>
      <c r="F16" s="23">
        <f>E16*3.5</f>
        <v>105000</v>
      </c>
      <c r="G16" s="22"/>
      <c r="H16" s="22">
        <f t="shared" ref="H16:H17" si="2">SUM(G16,F16)</f>
        <v>105000</v>
      </c>
      <c r="I16" s="623">
        <f t="shared" ref="I16:I20" si="3">H16*1.1</f>
        <v>115500.00000000001</v>
      </c>
      <c r="J16" s="25" t="s">
        <v>265</v>
      </c>
      <c r="K16" s="533"/>
      <c r="L16" s="533"/>
      <c r="M16" s="534">
        <v>0</v>
      </c>
      <c r="N16" s="505">
        <f t="shared" si="0"/>
        <v>0</v>
      </c>
    </row>
    <row r="17" spans="1:15" ht="22.05" customHeight="1">
      <c r="A17" s="827"/>
      <c r="B17" s="939"/>
      <c r="C17" s="622"/>
      <c r="D17" s="622"/>
      <c r="E17" s="167">
        <v>140000</v>
      </c>
      <c r="F17" s="23">
        <f>E17*3.5</f>
        <v>490000</v>
      </c>
      <c r="G17" s="22"/>
      <c r="H17" s="22">
        <f t="shared" si="2"/>
        <v>490000</v>
      </c>
      <c r="I17" s="623">
        <f t="shared" si="3"/>
        <v>539000</v>
      </c>
      <c r="J17" s="25" t="s">
        <v>266</v>
      </c>
      <c r="K17" s="533"/>
      <c r="L17" s="533"/>
      <c r="M17" s="534">
        <v>49000</v>
      </c>
    </row>
    <row r="18" spans="1:15" ht="22.05" customHeight="1">
      <c r="A18" s="925" t="s">
        <v>41</v>
      </c>
      <c r="B18" s="926"/>
      <c r="C18" s="622"/>
      <c r="D18" s="622"/>
      <c r="E18" s="624">
        <v>79290</v>
      </c>
      <c r="F18" s="625">
        <v>264931</v>
      </c>
      <c r="G18" s="625"/>
      <c r="H18" s="19">
        <f>F18</f>
        <v>264931</v>
      </c>
      <c r="I18" s="623">
        <f t="shared" si="3"/>
        <v>291424.10000000003</v>
      </c>
      <c r="J18" s="540"/>
      <c r="K18" s="541">
        <v>950</v>
      </c>
      <c r="L18" s="541">
        <v>298</v>
      </c>
      <c r="M18" s="542">
        <v>85568</v>
      </c>
      <c r="N18" s="505">
        <f>M18/I18</f>
        <v>0.29362019132940614</v>
      </c>
    </row>
    <row r="19" spans="1:15" ht="22.05" customHeight="1">
      <c r="A19" s="925" t="s">
        <v>267</v>
      </c>
      <c r="B19" s="926"/>
      <c r="C19" s="622"/>
      <c r="D19" s="622"/>
      <c r="E19" s="627">
        <v>61920</v>
      </c>
      <c r="F19" s="628">
        <v>194118</v>
      </c>
      <c r="G19" s="22"/>
      <c r="H19" s="19">
        <f>F19</f>
        <v>194118</v>
      </c>
      <c r="I19" s="623">
        <f t="shared" si="3"/>
        <v>213529.80000000002</v>
      </c>
      <c r="J19" s="540"/>
      <c r="K19" s="647">
        <v>500</v>
      </c>
      <c r="L19" s="647">
        <v>339</v>
      </c>
      <c r="M19" s="647">
        <v>8951</v>
      </c>
      <c r="N19" s="505">
        <f>M19/I19</f>
        <v>4.1919207529815504E-2</v>
      </c>
    </row>
    <row r="20" spans="1:15" ht="22.05" customHeight="1">
      <c r="A20" s="925" t="s">
        <v>268</v>
      </c>
      <c r="B20" s="926"/>
      <c r="C20" s="622"/>
      <c r="D20" s="622"/>
      <c r="E20" s="627">
        <v>58390</v>
      </c>
      <c r="F20" s="628">
        <v>191935</v>
      </c>
      <c r="G20" s="22"/>
      <c r="H20" s="625">
        <f>SUM(F20)</f>
        <v>191935</v>
      </c>
      <c r="I20" s="623">
        <f t="shared" si="3"/>
        <v>211128.50000000003</v>
      </c>
      <c r="J20" s="540"/>
      <c r="K20" s="647">
        <v>6670</v>
      </c>
      <c r="L20" s="647">
        <v>764</v>
      </c>
      <c r="M20" s="647">
        <v>41416</v>
      </c>
      <c r="N20" s="505">
        <f>M20/I20</f>
        <v>0.19616489483892507</v>
      </c>
    </row>
    <row r="21" spans="1:15" s="502" customFormat="1" ht="22.05" customHeight="1">
      <c r="A21" s="15"/>
      <c r="B21" s="26"/>
      <c r="C21" s="22"/>
      <c r="D21" s="23"/>
      <c r="E21" s="625"/>
      <c r="F21" s="628"/>
      <c r="G21" s="22"/>
      <c r="H21" s="22"/>
      <c r="I21" s="623"/>
      <c r="J21" s="545"/>
      <c r="K21" s="542"/>
      <c r="L21" s="542"/>
      <c r="M21" s="542"/>
      <c r="N21" s="505"/>
    </row>
    <row r="22" spans="1:15" s="502" customFormat="1" ht="22.05" customHeight="1">
      <c r="A22" s="907" t="s">
        <v>17</v>
      </c>
      <c r="B22" s="936" t="s">
        <v>40</v>
      </c>
      <c r="C22" s="29">
        <v>10350</v>
      </c>
      <c r="D22" s="29">
        <f>C22*10</f>
        <v>103500</v>
      </c>
      <c r="E22" s="632">
        <v>33750</v>
      </c>
      <c r="F22" s="550">
        <v>90875</v>
      </c>
      <c r="G22" s="29"/>
      <c r="H22" s="29">
        <f>SUM(G22,F22,D22)</f>
        <v>194375</v>
      </c>
      <c r="I22" s="633">
        <f>H22*1.1</f>
        <v>213812.50000000003</v>
      </c>
      <c r="J22" s="553" t="s">
        <v>179</v>
      </c>
      <c r="K22" s="973"/>
      <c r="L22" s="973"/>
      <c r="M22" s="975">
        <v>140100</v>
      </c>
      <c r="N22" s="972">
        <f>M22/(I22+I23)</f>
        <v>0.38273198516606227</v>
      </c>
    </row>
    <row r="23" spans="1:15" s="502" customFormat="1" ht="22.05" customHeight="1">
      <c r="A23" s="935"/>
      <c r="B23" s="937"/>
      <c r="C23" s="31">
        <v>10600</v>
      </c>
      <c r="D23" s="32">
        <f>C23*10</f>
        <v>106000</v>
      </c>
      <c r="E23" s="634">
        <v>19600</v>
      </c>
      <c r="F23" s="635">
        <v>32400</v>
      </c>
      <c r="G23" s="31"/>
      <c r="H23" s="636">
        <f>SUM(G23,F23,D23)</f>
        <v>138400</v>
      </c>
      <c r="I23" s="637">
        <f>H23*1.1</f>
        <v>152240</v>
      </c>
      <c r="J23" s="559" t="s">
        <v>180</v>
      </c>
      <c r="K23" s="974"/>
      <c r="L23" s="974"/>
      <c r="M23" s="976"/>
      <c r="N23" s="972"/>
    </row>
    <row r="24" spans="1:15" s="502" customFormat="1" ht="22.05" customHeight="1">
      <c r="A24" s="925"/>
      <c r="B24" s="926"/>
      <c r="C24" s="22"/>
      <c r="D24" s="22"/>
      <c r="E24" s="22"/>
      <c r="F24" s="22"/>
      <c r="G24" s="22"/>
      <c r="H24" s="22"/>
      <c r="I24" s="623"/>
      <c r="J24" s="25"/>
      <c r="K24" s="533"/>
      <c r="L24" s="533"/>
      <c r="M24" s="534"/>
      <c r="N24" s="505"/>
    </row>
    <row r="25" spans="1:15" s="502" customFormat="1" ht="25.05" customHeight="1">
      <c r="A25" s="927" t="s">
        <v>18</v>
      </c>
      <c r="B25" s="563" t="s">
        <v>29</v>
      </c>
      <c r="C25" s="564">
        <f>SUM(C4:C15)</f>
        <v>127640</v>
      </c>
      <c r="D25" s="564">
        <f t="shared" ref="D25:G25" si="4">SUM(D4:D15)</f>
        <v>1084940</v>
      </c>
      <c r="E25" s="564">
        <f t="shared" si="4"/>
        <v>686128</v>
      </c>
      <c r="F25" s="564">
        <f t="shared" si="4"/>
        <v>2023211</v>
      </c>
      <c r="G25" s="564">
        <f t="shared" si="4"/>
        <v>15000</v>
      </c>
      <c r="H25" s="564">
        <f>SUM(H4:H15)</f>
        <v>3123151</v>
      </c>
      <c r="I25" s="564">
        <f>H25*1.1</f>
        <v>3435466.1</v>
      </c>
      <c r="J25" s="567" t="s">
        <v>269</v>
      </c>
      <c r="K25" s="568"/>
      <c r="L25" s="568"/>
      <c r="M25" s="569"/>
      <c r="N25" s="505"/>
      <c r="O25" s="570"/>
    </row>
    <row r="26" spans="1:15" s="502" customFormat="1" ht="25.05" customHeight="1">
      <c r="A26" s="928"/>
      <c r="B26" s="571"/>
      <c r="C26" s="572"/>
      <c r="D26" s="572"/>
      <c r="E26" s="572"/>
      <c r="F26" s="572"/>
      <c r="G26" s="572"/>
      <c r="H26" s="572"/>
      <c r="I26" s="572"/>
      <c r="J26" s="575"/>
      <c r="K26" s="576"/>
      <c r="L26" s="576"/>
      <c r="M26" s="577"/>
      <c r="N26" s="505"/>
      <c r="O26" s="570"/>
    </row>
    <row r="27" spans="1:15" s="502" customFormat="1" ht="25.05" customHeight="1">
      <c r="A27" s="928"/>
      <c r="B27" s="578" t="s">
        <v>5</v>
      </c>
      <c r="C27" s="579"/>
      <c r="D27" s="579"/>
      <c r="E27" s="579">
        <f>SUM(E18:E20)</f>
        <v>199600</v>
      </c>
      <c r="F27" s="579">
        <f t="shared" ref="F27:H27" si="5">SUM(F18:F20)</f>
        <v>650984</v>
      </c>
      <c r="G27" s="579">
        <f t="shared" si="5"/>
        <v>0</v>
      </c>
      <c r="H27" s="579">
        <f t="shared" si="5"/>
        <v>650984</v>
      </c>
      <c r="I27" s="579">
        <f>SUM(I18:I20)</f>
        <v>716082.4</v>
      </c>
      <c r="J27" s="582" t="s">
        <v>199</v>
      </c>
      <c r="K27" s="576"/>
      <c r="L27" s="576"/>
      <c r="M27" s="577"/>
      <c r="N27" s="505"/>
      <c r="O27" s="570"/>
    </row>
    <row r="28" spans="1:15" s="502" customFormat="1" ht="25.05" customHeight="1">
      <c r="A28" s="928"/>
      <c r="B28" s="578"/>
      <c r="C28" s="579">
        <f>SUM(C22:C23)</f>
        <v>20950</v>
      </c>
      <c r="D28" s="579">
        <f t="shared" ref="D28:G28" si="6">SUM(D22:D23)</f>
        <v>209500</v>
      </c>
      <c r="E28" s="579">
        <f t="shared" si="6"/>
        <v>53350</v>
      </c>
      <c r="F28" s="579">
        <f t="shared" si="6"/>
        <v>123275</v>
      </c>
      <c r="G28" s="579">
        <f t="shared" si="6"/>
        <v>0</v>
      </c>
      <c r="H28" s="579">
        <f>SUM(G28,F28,D28)</f>
        <v>332775</v>
      </c>
      <c r="I28" s="579">
        <f>H28*1.1</f>
        <v>366052.50000000006</v>
      </c>
      <c r="J28" s="582" t="s">
        <v>270</v>
      </c>
      <c r="K28" s="576"/>
      <c r="L28" s="576"/>
      <c r="M28" s="577"/>
      <c r="N28" s="505"/>
      <c r="O28" s="570"/>
    </row>
    <row r="29" spans="1:15" s="502" customFormat="1" ht="25.05" customHeight="1">
      <c r="A29" s="928"/>
      <c r="B29" s="578"/>
      <c r="C29" s="579">
        <f>SUM(C16:C17)</f>
        <v>0</v>
      </c>
      <c r="D29" s="579">
        <f t="shared" ref="D29:I29" si="7">SUM(D16:D17)</f>
        <v>0</v>
      </c>
      <c r="E29" s="579">
        <f t="shared" si="7"/>
        <v>170000</v>
      </c>
      <c r="F29" s="579">
        <f t="shared" si="7"/>
        <v>595000</v>
      </c>
      <c r="G29" s="579">
        <f t="shared" si="7"/>
        <v>0</v>
      </c>
      <c r="H29" s="579">
        <f t="shared" si="7"/>
        <v>595000</v>
      </c>
      <c r="I29" s="579">
        <f t="shared" si="7"/>
        <v>654500</v>
      </c>
      <c r="J29" s="582" t="s">
        <v>271</v>
      </c>
      <c r="K29" s="576"/>
      <c r="L29" s="576"/>
      <c r="M29" s="577"/>
      <c r="N29" s="505"/>
      <c r="O29" s="570"/>
    </row>
    <row r="30" spans="1:15" s="502" customFormat="1" ht="25.05" customHeight="1" thickBot="1">
      <c r="A30" s="928"/>
      <c r="B30" s="37"/>
      <c r="C30" s="38"/>
      <c r="D30" s="38"/>
      <c r="E30" s="38"/>
      <c r="F30" s="38"/>
      <c r="G30" s="38"/>
      <c r="H30" s="38"/>
      <c r="I30" s="38"/>
      <c r="J30" s="585"/>
      <c r="K30" s="586"/>
      <c r="L30" s="586"/>
      <c r="M30" s="587"/>
      <c r="N30" s="505"/>
      <c r="O30" s="570"/>
    </row>
    <row r="31" spans="1:15" s="502" customFormat="1" ht="28.05" customHeight="1" thickTop="1">
      <c r="A31" s="929"/>
      <c r="B31" s="39" t="s">
        <v>19</v>
      </c>
      <c r="C31" s="588">
        <f>SUM(C25:C30)</f>
        <v>148590</v>
      </c>
      <c r="D31" s="588">
        <f>SUM(D25:D30)</f>
        <v>1294440</v>
      </c>
      <c r="E31" s="588">
        <f t="shared" ref="E31:H31" si="8">SUM(E25:E30)</f>
        <v>1109078</v>
      </c>
      <c r="F31" s="588">
        <f t="shared" si="8"/>
        <v>3392470</v>
      </c>
      <c r="G31" s="588">
        <f t="shared" si="8"/>
        <v>15000</v>
      </c>
      <c r="H31" s="588">
        <f t="shared" si="8"/>
        <v>4701910</v>
      </c>
      <c r="I31" s="588">
        <f>SUM(I25:I30)</f>
        <v>5172101</v>
      </c>
      <c r="J31" s="591" t="s">
        <v>201</v>
      </c>
      <c r="K31" s="592">
        <f>SUM(K4:K24)</f>
        <v>102170</v>
      </c>
      <c r="L31" s="592">
        <f>SUM(L4:L24)</f>
        <v>13677</v>
      </c>
      <c r="M31" s="593">
        <f>SUM(M4:M27)</f>
        <v>1662677</v>
      </c>
      <c r="N31" s="505">
        <f t="shared" ref="N31" si="9">M31/I31</f>
        <v>0.3214703270489111</v>
      </c>
      <c r="O31" s="570"/>
    </row>
    <row r="32" spans="1:15" s="502" customFormat="1" ht="33" customHeight="1">
      <c r="A32"/>
      <c r="B32" s="40" t="s">
        <v>20</v>
      </c>
      <c r="I32" s="613"/>
      <c r="M32" s="504"/>
      <c r="N32" s="505"/>
    </row>
  </sheetData>
  <mergeCells count="27">
    <mergeCell ref="N22:N23"/>
    <mergeCell ref="A24:B24"/>
    <mergeCell ref="A25:A31"/>
    <mergeCell ref="A20:B20"/>
    <mergeCell ref="A22:A23"/>
    <mergeCell ref="B22:B23"/>
    <mergeCell ref="K22:K23"/>
    <mergeCell ref="L22:L23"/>
    <mergeCell ref="M22:M23"/>
    <mergeCell ref="A19:B19"/>
    <mergeCell ref="H2:H3"/>
    <mergeCell ref="I2:I3"/>
    <mergeCell ref="J2:J3"/>
    <mergeCell ref="K2:K3"/>
    <mergeCell ref="A7:B11"/>
    <mergeCell ref="A12:B13"/>
    <mergeCell ref="A14:B15"/>
    <mergeCell ref="A16:B17"/>
    <mergeCell ref="A18:B18"/>
    <mergeCell ref="L2:L3"/>
    <mergeCell ref="M2:M3"/>
    <mergeCell ref="A1:F1"/>
    <mergeCell ref="A2:A3"/>
    <mergeCell ref="B2:B3"/>
    <mergeCell ref="C2:D2"/>
    <mergeCell ref="E2:F2"/>
    <mergeCell ref="G2:G3"/>
  </mergeCells>
  <phoneticPr fontId="3"/>
  <conditionalFormatting sqref="E19:E20 F19:F23 J19:J23 E22:E23">
    <cfRule type="expression" dxfId="248" priority="29">
      <formula>COUNTIF(#REF!,"*一部*")</formula>
    </cfRule>
    <cfRule type="expression" dxfId="247" priority="30">
      <formula>COUNTIF(#REF!,"*未*")</formula>
    </cfRule>
  </conditionalFormatting>
  <conditionalFormatting sqref="E19:E20 F19:F23 J19:J23">
    <cfRule type="expression" dxfId="246" priority="28">
      <formula>COUNTIF(#REF!,"*済*")</formula>
    </cfRule>
  </conditionalFormatting>
  <conditionalFormatting sqref="E19:F21">
    <cfRule type="expression" dxfId="245" priority="26">
      <formula>COUNTIF(#REF!,"*一部*")</formula>
    </cfRule>
    <cfRule type="expression" dxfId="244" priority="27">
      <formula>COUNTIF(#REF!,"*未*")</formula>
    </cfRule>
  </conditionalFormatting>
  <conditionalFormatting sqref="E19:F23">
    <cfRule type="expression" dxfId="243" priority="25">
      <formula>COUNTIF(#REF!,"*済*")</formula>
    </cfRule>
  </conditionalFormatting>
  <conditionalFormatting sqref="E18:G18 H20 J18:K18 J19:J20">
    <cfRule type="expression" dxfId="242" priority="16">
      <formula>COUNTIF(#REF!,"*済*")</formula>
    </cfRule>
  </conditionalFormatting>
  <conditionalFormatting sqref="E18:G18 J18:K18 J19:J20 H20">
    <cfRule type="expression" dxfId="241" priority="17">
      <formula>COUNTIF(#REF!,"*一部*")</formula>
    </cfRule>
    <cfRule type="expression" dxfId="240" priority="18">
      <formula>COUNTIF(#REF!,"*未*")</formula>
    </cfRule>
  </conditionalFormatting>
  <conditionalFormatting sqref="E18:G18">
    <cfRule type="expression" dxfId="239" priority="14">
      <formula>COUNTIF(#REF!,"*一部*")</formula>
    </cfRule>
    <cfRule type="expression" dxfId="238" priority="15">
      <formula>COUNTIF(#REF!,"*未*")</formula>
    </cfRule>
    <cfRule type="expression" dxfId="237" priority="13">
      <formula>COUNTIF(#REF!,"*済*")</formula>
    </cfRule>
  </conditionalFormatting>
  <conditionalFormatting sqref="F19:F23">
    <cfRule type="expression" dxfId="236" priority="19">
      <formula>COUNTIF(#REF!,"*済*")</formula>
    </cfRule>
    <cfRule type="expression" dxfId="235" priority="20">
      <formula>COUNTIF(#REF!,"*一部*")</formula>
    </cfRule>
    <cfRule type="expression" dxfId="234" priority="21">
      <formula>COUNTIF(#REF!,"*未*")</formula>
    </cfRule>
    <cfRule type="expression" dxfId="233" priority="22">
      <formula>COUNTIF(#REF!,"*済*")</formula>
    </cfRule>
    <cfRule type="expression" dxfId="232" priority="23">
      <formula>COUNTIF(#REF!,"*一部*")</formula>
    </cfRule>
    <cfRule type="expression" dxfId="231" priority="24">
      <formula>COUNTIF(#REF!,"*未*")</formula>
    </cfRule>
  </conditionalFormatting>
  <conditionalFormatting sqref="H20">
    <cfRule type="expression" dxfId="230" priority="3">
      <formula>COUNTIF(#REF!,"*未*")</formula>
    </cfRule>
    <cfRule type="expression" dxfId="229" priority="4">
      <formula>COUNTIF(#REF!,"*済*")</formula>
    </cfRule>
    <cfRule type="expression" dxfId="228" priority="5">
      <formula>COUNTIF(#REF!,"*一部*")</formula>
    </cfRule>
    <cfRule type="expression" dxfId="227" priority="6">
      <formula>COUNTIF(#REF!,"*未*")</formula>
    </cfRule>
    <cfRule type="expression" dxfId="226" priority="7">
      <formula>COUNTIF(#REF!,"*済*")</formula>
    </cfRule>
    <cfRule type="expression" dxfId="225" priority="8">
      <formula>COUNTIF(#REF!,"*一部*")</formula>
    </cfRule>
    <cfRule type="expression" dxfId="224" priority="9">
      <formula>COUNTIF(#REF!,"*未*")</formula>
    </cfRule>
    <cfRule type="expression" dxfId="223" priority="10">
      <formula>COUNTIF(#REF!,"*済*")</formula>
    </cfRule>
    <cfRule type="expression" dxfId="222" priority="11">
      <formula>COUNTIF(#REF!,"*一部*")</formula>
    </cfRule>
    <cfRule type="expression" dxfId="221" priority="12">
      <formula>COUNTIF(#REF!,"*未*")</formula>
    </cfRule>
    <cfRule type="expression" dxfId="220" priority="1">
      <formula>COUNTIF(#REF!,"*済*")</formula>
    </cfRule>
    <cfRule type="expression" dxfId="219" priority="2">
      <formula>COUNTIF(#REF!,"*一部*")</formula>
    </cfRule>
  </conditionalFormatting>
  <conditionalFormatting sqref="J18:K18">
    <cfRule type="expression" dxfId="218" priority="31">
      <formula>COUNTIF(#REF!,"*済*")</formula>
    </cfRule>
    <cfRule type="expression" dxfId="217" priority="32">
      <formula>COUNTIF(#REF!,"*一部*")</formula>
    </cfRule>
    <cfRule type="expression" dxfId="216" priority="33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6C04-93E8-473F-83DA-889DA7437610}">
  <sheetPr>
    <pageSetUpPr fitToPage="1"/>
  </sheetPr>
  <dimension ref="A1:Q30"/>
  <sheetViews>
    <sheetView zoomScale="86" zoomScaleNormal="86" workbookViewId="0">
      <pane ySplit="3" topLeftCell="A14" activePane="bottomLeft" state="frozen"/>
      <selection activeCell="D1" sqref="D1"/>
      <selection pane="bottomLeft" activeCell="J35" sqref="J35"/>
    </sheetView>
  </sheetViews>
  <sheetFormatPr defaultRowHeight="13.2"/>
  <cols>
    <col min="1" max="1" width="8.33203125" customWidth="1"/>
    <col min="2" max="2" width="11.5546875" style="42" customWidth="1"/>
    <col min="3" max="3" width="10.6640625" style="502" customWidth="1"/>
    <col min="4" max="6" width="12.6640625" style="502" customWidth="1"/>
    <col min="7" max="7" width="11.77734375" style="502" customWidth="1"/>
    <col min="8" max="8" width="13.33203125" style="502" customWidth="1"/>
    <col min="9" max="9" width="13.6640625" style="570" customWidth="1"/>
    <col min="10" max="10" width="45.21875" style="502" customWidth="1"/>
    <col min="11" max="12" width="10.77734375" style="502" customWidth="1"/>
    <col min="13" max="13" width="13.44140625" style="504" customWidth="1"/>
    <col min="14" max="14" width="8.6640625" style="505" customWidth="1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240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58" t="s">
        <v>5</v>
      </c>
      <c r="H2" s="960" t="s">
        <v>6</v>
      </c>
      <c r="I2" s="962" t="s">
        <v>6</v>
      </c>
      <c r="J2" s="964" t="s">
        <v>7</v>
      </c>
      <c r="K2" s="966" t="s">
        <v>8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59"/>
      <c r="H3" s="961"/>
      <c r="I3" s="963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45919</v>
      </c>
      <c r="B4" s="511" t="s">
        <v>13</v>
      </c>
      <c r="C4" s="10">
        <v>58180</v>
      </c>
      <c r="D4" s="10">
        <v>494530</v>
      </c>
      <c r="E4" s="10">
        <v>47126</v>
      </c>
      <c r="F4" s="520">
        <v>93880</v>
      </c>
      <c r="G4" s="614">
        <v>10000</v>
      </c>
      <c r="H4" s="614">
        <f>SUM(G4,F4,D4)</f>
        <v>598410</v>
      </c>
      <c r="I4" s="615">
        <f>H4*1.1</f>
        <v>658251</v>
      </c>
      <c r="J4" s="14"/>
      <c r="K4" s="616">
        <v>29217</v>
      </c>
      <c r="L4" s="616">
        <v>7633</v>
      </c>
      <c r="M4" s="561">
        <v>234508</v>
      </c>
      <c r="N4" s="505">
        <f t="shared" ref="N4:N13" si="0">M4/I4</f>
        <v>0.35625923849716901</v>
      </c>
      <c r="O4" s="1"/>
      <c r="P4" s="1"/>
      <c r="Q4" s="1"/>
    </row>
    <row r="5" spans="1:17" ht="25.05" customHeight="1">
      <c r="A5" s="518">
        <v>45926</v>
      </c>
      <c r="B5" s="9" t="s">
        <v>14</v>
      </c>
      <c r="C5" s="17">
        <v>69044</v>
      </c>
      <c r="D5" s="229">
        <v>587474</v>
      </c>
      <c r="E5" s="17">
        <v>333858</v>
      </c>
      <c r="F5" s="617">
        <v>684278</v>
      </c>
      <c r="G5" s="17">
        <v>5000</v>
      </c>
      <c r="H5" s="18">
        <f>SUM(G5,F5,D5)</f>
        <v>1276752</v>
      </c>
      <c r="I5" s="623">
        <f>H5*1.1</f>
        <v>1404427.2000000002</v>
      </c>
      <c r="J5" s="619" t="s">
        <v>241</v>
      </c>
      <c r="K5" s="523">
        <v>62567</v>
      </c>
      <c r="L5" s="523">
        <v>9358</v>
      </c>
      <c r="M5" s="643">
        <v>340588</v>
      </c>
      <c r="N5" s="505">
        <f t="shared" si="0"/>
        <v>0.24251025613858801</v>
      </c>
    </row>
    <row r="6" spans="1:17" ht="22.05" customHeight="1">
      <c r="A6" s="15"/>
      <c r="B6" s="21"/>
      <c r="C6" s="82"/>
      <c r="D6" s="82"/>
      <c r="E6" s="82"/>
      <c r="F6" s="620"/>
      <c r="G6" s="82"/>
      <c r="H6" s="82"/>
      <c r="I6" s="621"/>
      <c r="J6" s="528"/>
      <c r="K6" s="529"/>
      <c r="L6" s="529"/>
      <c r="M6" s="530"/>
    </row>
    <row r="7" spans="1:17" ht="22.05" customHeight="1">
      <c r="A7" s="855" t="s">
        <v>242</v>
      </c>
      <c r="B7" s="933"/>
      <c r="C7" s="622"/>
      <c r="D7" s="622"/>
      <c r="E7" s="22">
        <v>40000</v>
      </c>
      <c r="F7" s="23">
        <f>E7*4</f>
        <v>160000</v>
      </c>
      <c r="G7" s="22"/>
      <c r="H7" s="22">
        <f>SUM(G7,F7)</f>
        <v>160000</v>
      </c>
      <c r="I7" s="623">
        <f>H7*1.1</f>
        <v>176000</v>
      </c>
      <c r="J7" s="25" t="s">
        <v>243</v>
      </c>
      <c r="K7" s="533">
        <v>4800</v>
      </c>
      <c r="L7" s="533">
        <v>603</v>
      </c>
      <c r="M7" s="534">
        <v>79500</v>
      </c>
      <c r="N7" s="505">
        <f t="shared" si="0"/>
        <v>0.45170454545454547</v>
      </c>
    </row>
    <row r="8" spans="1:17" ht="22.05" customHeight="1">
      <c r="A8" s="931"/>
      <c r="B8" s="934"/>
      <c r="C8" s="531"/>
      <c r="D8" s="531"/>
      <c r="E8" s="18">
        <v>40000</v>
      </c>
      <c r="F8" s="19">
        <f>E8*4</f>
        <v>160000</v>
      </c>
      <c r="G8" s="19"/>
      <c r="H8" s="19">
        <f>SUM(G8,F8)</f>
        <v>160000</v>
      </c>
      <c r="I8" s="623">
        <f>H8*1.1</f>
        <v>176000</v>
      </c>
      <c r="J8" s="25" t="s">
        <v>244</v>
      </c>
      <c r="K8" s="533">
        <v>2380</v>
      </c>
      <c r="L8" s="533">
        <v>601</v>
      </c>
      <c r="M8" s="534">
        <v>81850</v>
      </c>
      <c r="N8" s="505">
        <f t="shared" si="0"/>
        <v>0.46505681818181815</v>
      </c>
    </row>
    <row r="9" spans="1:17" ht="22.05" customHeight="1">
      <c r="A9" s="931"/>
      <c r="B9" s="934"/>
      <c r="C9" s="531"/>
      <c r="D9" s="531"/>
      <c r="E9" s="18">
        <v>40000</v>
      </c>
      <c r="F9" s="19">
        <f t="shared" ref="F9:F11" si="1">E9*4</f>
        <v>160000</v>
      </c>
      <c r="G9" s="19"/>
      <c r="H9" s="19">
        <f t="shared" ref="H9:H11" si="2">SUM(G9,F9)</f>
        <v>160000</v>
      </c>
      <c r="I9" s="623">
        <f t="shared" ref="I9:I11" si="3">H9*1.1</f>
        <v>176000</v>
      </c>
      <c r="J9" s="25" t="s">
        <v>245</v>
      </c>
      <c r="K9" s="533">
        <v>10040</v>
      </c>
      <c r="L9" s="533">
        <v>3267</v>
      </c>
      <c r="M9" s="534">
        <v>27000</v>
      </c>
      <c r="N9" s="505">
        <f t="shared" si="0"/>
        <v>0.15340909090909091</v>
      </c>
    </row>
    <row r="10" spans="1:17" ht="22.05" customHeight="1">
      <c r="A10" s="931"/>
      <c r="B10" s="934"/>
      <c r="C10" s="531"/>
      <c r="D10" s="531"/>
      <c r="E10" s="18">
        <v>20000</v>
      </c>
      <c r="F10" s="19">
        <f t="shared" si="1"/>
        <v>80000</v>
      </c>
      <c r="G10" s="19"/>
      <c r="H10" s="19">
        <f t="shared" si="2"/>
        <v>80000</v>
      </c>
      <c r="I10" s="623">
        <f t="shared" si="3"/>
        <v>88000</v>
      </c>
      <c r="J10" s="25" t="s">
        <v>246</v>
      </c>
      <c r="K10" s="533"/>
      <c r="L10" s="533"/>
      <c r="M10" s="534">
        <v>61600</v>
      </c>
      <c r="N10" s="505">
        <f t="shared" si="0"/>
        <v>0.7</v>
      </c>
    </row>
    <row r="11" spans="1:17" ht="22.05" customHeight="1">
      <c r="A11" s="827"/>
      <c r="B11" s="939"/>
      <c r="C11" s="531"/>
      <c r="D11" s="531"/>
      <c r="E11" s="18">
        <v>40000</v>
      </c>
      <c r="F11" s="19">
        <f t="shared" si="1"/>
        <v>160000</v>
      </c>
      <c r="G11" s="19"/>
      <c r="H11" s="19">
        <f t="shared" si="2"/>
        <v>160000</v>
      </c>
      <c r="I11" s="623">
        <f t="shared" si="3"/>
        <v>176000</v>
      </c>
      <c r="J11" s="25" t="s">
        <v>247</v>
      </c>
      <c r="K11" s="533"/>
      <c r="L11" s="533"/>
      <c r="M11" s="534">
        <v>132000</v>
      </c>
      <c r="N11" s="505">
        <f t="shared" si="0"/>
        <v>0.75</v>
      </c>
    </row>
    <row r="12" spans="1:17" ht="22.05" customHeight="1">
      <c r="A12" s="855" t="s">
        <v>16</v>
      </c>
      <c r="B12" s="933"/>
      <c r="C12" s="622"/>
      <c r="D12" s="622"/>
      <c r="E12" s="22">
        <v>10000</v>
      </c>
      <c r="F12" s="23">
        <v>40000</v>
      </c>
      <c r="G12" s="22"/>
      <c r="H12" s="22">
        <f>E12*4</f>
        <v>40000</v>
      </c>
      <c r="I12" s="623">
        <v>44000</v>
      </c>
      <c r="J12" s="25" t="s">
        <v>248</v>
      </c>
      <c r="K12" s="533"/>
      <c r="L12" s="533"/>
      <c r="M12" s="534">
        <v>15680</v>
      </c>
      <c r="N12" s="505">
        <f t="shared" si="0"/>
        <v>0.35636363636363638</v>
      </c>
    </row>
    <row r="13" spans="1:17" ht="22.05" customHeight="1">
      <c r="A13" s="827"/>
      <c r="B13" s="939"/>
      <c r="C13" s="622"/>
      <c r="D13" s="622"/>
      <c r="E13" s="22">
        <v>10000</v>
      </c>
      <c r="F13" s="23">
        <v>40000</v>
      </c>
      <c r="G13" s="22"/>
      <c r="H13" s="22">
        <f>E13*4</f>
        <v>40000</v>
      </c>
      <c r="I13" s="623">
        <v>44000</v>
      </c>
      <c r="J13" s="25" t="s">
        <v>249</v>
      </c>
      <c r="K13" s="533"/>
      <c r="L13" s="533"/>
      <c r="M13" s="534">
        <v>1029</v>
      </c>
      <c r="N13" s="505">
        <f t="shared" si="0"/>
        <v>2.3386363636363636E-2</v>
      </c>
    </row>
    <row r="14" spans="1:17" ht="22.05" customHeight="1">
      <c r="A14" s="977" t="s">
        <v>207</v>
      </c>
      <c r="B14" s="978"/>
      <c r="C14" s="622"/>
      <c r="D14" s="622"/>
      <c r="E14" s="22">
        <v>20000</v>
      </c>
      <c r="F14" s="23">
        <v>80000</v>
      </c>
      <c r="G14" s="22"/>
      <c r="H14" s="22">
        <f>E14*4</f>
        <v>80000</v>
      </c>
      <c r="I14" s="623">
        <f>H14*1.1</f>
        <v>88000</v>
      </c>
      <c r="J14" s="25" t="s">
        <v>239</v>
      </c>
      <c r="K14" s="533"/>
      <c r="L14" s="533"/>
      <c r="M14" s="534">
        <v>61600</v>
      </c>
    </row>
    <row r="15" spans="1:17" ht="22.05" customHeight="1">
      <c r="A15" s="15"/>
      <c r="B15" s="26"/>
      <c r="C15" s="22"/>
      <c r="D15" s="22"/>
      <c r="E15" s="22"/>
      <c r="F15" s="23"/>
      <c r="G15" s="22"/>
      <c r="H15" s="22"/>
      <c r="I15" s="623"/>
      <c r="J15" s="25"/>
      <c r="K15" s="533"/>
      <c r="L15" s="533"/>
      <c r="M15" s="534"/>
    </row>
    <row r="16" spans="1:17" ht="22.05" customHeight="1">
      <c r="A16" s="925" t="s">
        <v>250</v>
      </c>
      <c r="B16" s="926"/>
      <c r="C16" s="622"/>
      <c r="D16" s="622"/>
      <c r="E16" s="624">
        <v>116030</v>
      </c>
      <c r="F16" s="625">
        <v>209011</v>
      </c>
      <c r="G16" s="625"/>
      <c r="H16" s="19">
        <f>SUM(G16,F16)</f>
        <v>209011</v>
      </c>
      <c r="I16" s="623">
        <f>H16*1.1</f>
        <v>229912.1</v>
      </c>
      <c r="J16" s="540"/>
      <c r="K16" s="541"/>
      <c r="L16" s="541"/>
      <c r="M16" s="542">
        <v>42350</v>
      </c>
      <c r="N16" s="505">
        <f>M16/I16</f>
        <v>0.18420083153518235</v>
      </c>
    </row>
    <row r="17" spans="1:15" ht="22.05" customHeight="1">
      <c r="A17" s="925" t="s">
        <v>251</v>
      </c>
      <c r="B17" s="926"/>
      <c r="C17" s="622"/>
      <c r="D17" s="622"/>
      <c r="E17" s="627">
        <v>59520</v>
      </c>
      <c r="F17" s="628">
        <v>185184</v>
      </c>
      <c r="G17" s="22"/>
      <c r="H17" s="19">
        <f>SUM(G17,F17)</f>
        <v>185184</v>
      </c>
      <c r="I17" s="623">
        <f>H17*1.1</f>
        <v>203702.40000000002</v>
      </c>
      <c r="J17" s="540"/>
      <c r="K17" s="542"/>
      <c r="L17" s="647">
        <v>290</v>
      </c>
      <c r="M17" s="647">
        <v>37586</v>
      </c>
      <c r="N17" s="505">
        <f>M17/I17</f>
        <v>0.18451427180043042</v>
      </c>
    </row>
    <row r="18" spans="1:15" ht="22.05" customHeight="1">
      <c r="A18" s="925" t="s">
        <v>252</v>
      </c>
      <c r="B18" s="926"/>
      <c r="C18" s="622"/>
      <c r="D18" s="622"/>
      <c r="E18" s="627"/>
      <c r="F18" s="628"/>
      <c r="G18" s="22"/>
      <c r="H18" s="625"/>
      <c r="I18" s="626"/>
      <c r="J18" s="540"/>
      <c r="K18" s="542"/>
      <c r="L18" s="542"/>
      <c r="M18" s="542"/>
    </row>
    <row r="19" spans="1:15" s="502" customFormat="1" ht="22.05" customHeight="1">
      <c r="A19" s="15"/>
      <c r="B19" s="26"/>
      <c r="C19" s="22"/>
      <c r="D19" s="23"/>
      <c r="E19" s="625"/>
      <c r="F19" s="628"/>
      <c r="G19" s="22"/>
      <c r="H19" s="22"/>
      <c r="I19" s="623"/>
      <c r="J19" s="545"/>
      <c r="K19" s="542"/>
      <c r="L19" s="542"/>
      <c r="M19" s="542"/>
      <c r="N19" s="505"/>
    </row>
    <row r="20" spans="1:15" s="502" customFormat="1" ht="22.05" customHeight="1">
      <c r="A20" s="907" t="s">
        <v>17</v>
      </c>
      <c r="B20" s="936" t="s">
        <v>253</v>
      </c>
      <c r="C20" s="29">
        <v>9750</v>
      </c>
      <c r="D20" s="29">
        <f t="shared" ref="D20:D21" si="4">C20*10</f>
        <v>97500</v>
      </c>
      <c r="E20" s="632">
        <v>49200</v>
      </c>
      <c r="F20" s="550">
        <f>E20*1.5</f>
        <v>73800</v>
      </c>
      <c r="G20" s="29"/>
      <c r="H20" s="29">
        <f t="shared" ref="H20:H21" si="5">SUM(F20,D20)</f>
        <v>171300</v>
      </c>
      <c r="I20" s="633">
        <f t="shared" ref="I20:I21" si="6">H20*1.1</f>
        <v>188430.00000000003</v>
      </c>
      <c r="J20" s="553" t="s">
        <v>179</v>
      </c>
      <c r="K20" s="973"/>
      <c r="L20" s="973"/>
      <c r="M20" s="975">
        <v>153290</v>
      </c>
      <c r="N20" s="972">
        <f>M20/I26</f>
        <v>0.40708258366916067</v>
      </c>
    </row>
    <row r="21" spans="1:15" s="502" customFormat="1" ht="22.05" customHeight="1">
      <c r="A21" s="935"/>
      <c r="B21" s="937"/>
      <c r="C21" s="31">
        <v>12850</v>
      </c>
      <c r="D21" s="32">
        <f t="shared" si="4"/>
        <v>128500</v>
      </c>
      <c r="E21" s="634">
        <v>28350</v>
      </c>
      <c r="F21" s="635">
        <f>E21*1.5</f>
        <v>42525</v>
      </c>
      <c r="G21" s="31"/>
      <c r="H21" s="636">
        <f t="shared" si="5"/>
        <v>171025</v>
      </c>
      <c r="I21" s="637">
        <f t="shared" si="6"/>
        <v>188127.50000000003</v>
      </c>
      <c r="J21" s="559" t="s">
        <v>180</v>
      </c>
      <c r="K21" s="974"/>
      <c r="L21" s="974"/>
      <c r="M21" s="976"/>
      <c r="N21" s="972"/>
    </row>
    <row r="22" spans="1:15" s="502" customFormat="1" ht="22.05" customHeight="1">
      <c r="A22" s="925"/>
      <c r="B22" s="926"/>
      <c r="C22" s="22"/>
      <c r="D22" s="22"/>
      <c r="E22" s="22"/>
      <c r="F22" s="22"/>
      <c r="G22" s="22"/>
      <c r="H22" s="22"/>
      <c r="I22" s="623"/>
      <c r="J22" s="25"/>
      <c r="K22" s="533"/>
      <c r="L22" s="533"/>
      <c r="M22" s="534"/>
      <c r="N22" s="505"/>
    </row>
    <row r="23" spans="1:15" s="502" customFormat="1" ht="25.05" customHeight="1">
      <c r="A23" s="927" t="s">
        <v>254</v>
      </c>
      <c r="B23" s="563" t="s">
        <v>182</v>
      </c>
      <c r="C23" s="34">
        <f t="shared" ref="C23:G23" si="7">SUM(C4:C15)</f>
        <v>127224</v>
      </c>
      <c r="D23" s="34">
        <f t="shared" si="7"/>
        <v>1082004</v>
      </c>
      <c r="E23" s="34">
        <f t="shared" si="7"/>
        <v>600984</v>
      </c>
      <c r="F23" s="34">
        <f t="shared" si="7"/>
        <v>1658158</v>
      </c>
      <c r="G23" s="34">
        <f t="shared" si="7"/>
        <v>15000</v>
      </c>
      <c r="H23" s="34">
        <v>2755161</v>
      </c>
      <c r="I23" s="34">
        <v>3030677</v>
      </c>
      <c r="J23" s="567" t="s">
        <v>198</v>
      </c>
      <c r="K23" s="568"/>
      <c r="L23" s="568"/>
      <c r="M23" s="569"/>
      <c r="N23" s="505"/>
      <c r="O23" s="570"/>
    </row>
    <row r="24" spans="1:15" s="502" customFormat="1" ht="25.05" customHeight="1">
      <c r="A24" s="928"/>
      <c r="B24" s="571"/>
      <c r="C24" s="579"/>
      <c r="D24" s="579"/>
      <c r="E24" s="579"/>
      <c r="F24" s="579"/>
      <c r="G24" s="579"/>
      <c r="H24" s="579"/>
      <c r="I24" s="579"/>
      <c r="J24" s="575"/>
      <c r="K24" s="576"/>
      <c r="L24" s="576"/>
      <c r="M24" s="577"/>
      <c r="N24" s="505"/>
      <c r="O24" s="570"/>
    </row>
    <row r="25" spans="1:15" s="502" customFormat="1" ht="25.05" customHeight="1">
      <c r="A25" s="928"/>
      <c r="B25" s="578" t="s">
        <v>5</v>
      </c>
      <c r="C25" s="579"/>
      <c r="D25" s="579"/>
      <c r="E25" s="579">
        <f>SUM(E16:E18)</f>
        <v>175550</v>
      </c>
      <c r="F25" s="579">
        <f>SUM(F16:F18)</f>
        <v>394195</v>
      </c>
      <c r="G25" s="579">
        <f>SUM(G16:G18)</f>
        <v>0</v>
      </c>
      <c r="H25" s="579">
        <f>SUM(H16:H18)</f>
        <v>394195</v>
      </c>
      <c r="I25" s="579">
        <f>SUM(I16:I18)</f>
        <v>433614.5</v>
      </c>
      <c r="J25" s="582" t="s">
        <v>199</v>
      </c>
      <c r="K25" s="576"/>
      <c r="L25" s="576"/>
      <c r="M25" s="577"/>
      <c r="N25" s="505"/>
      <c r="O25" s="570"/>
    </row>
    <row r="26" spans="1:15" s="502" customFormat="1" ht="25.05" customHeight="1">
      <c r="A26" s="928"/>
      <c r="B26" s="578"/>
      <c r="C26" s="579">
        <f>SUM(C20:C21)</f>
        <v>22600</v>
      </c>
      <c r="D26" s="579">
        <f t="shared" ref="D26:I26" si="8">SUM(D20:D21)</f>
        <v>226000</v>
      </c>
      <c r="E26" s="579">
        <f t="shared" si="8"/>
        <v>77550</v>
      </c>
      <c r="F26" s="579">
        <f t="shared" si="8"/>
        <v>116325</v>
      </c>
      <c r="G26" s="579">
        <f t="shared" si="8"/>
        <v>0</v>
      </c>
      <c r="H26" s="579">
        <f t="shared" si="8"/>
        <v>342325</v>
      </c>
      <c r="I26" s="579">
        <f t="shared" si="8"/>
        <v>376557.50000000006</v>
      </c>
      <c r="J26" s="582" t="s">
        <v>255</v>
      </c>
      <c r="K26" s="576"/>
      <c r="L26" s="576"/>
      <c r="M26" s="577"/>
      <c r="N26" s="505"/>
      <c r="O26" s="570"/>
    </row>
    <row r="27" spans="1:15" s="502" customFormat="1" ht="25.05" customHeight="1">
      <c r="A27" s="928"/>
      <c r="B27" s="578"/>
      <c r="C27" s="579"/>
      <c r="D27" s="579"/>
      <c r="E27" s="579"/>
      <c r="F27" s="579"/>
      <c r="G27" s="579"/>
      <c r="H27" s="579"/>
      <c r="I27" s="579"/>
      <c r="J27" s="582"/>
      <c r="K27" s="576"/>
      <c r="L27" s="576"/>
      <c r="M27" s="577"/>
      <c r="N27" s="505"/>
      <c r="O27" s="570"/>
    </row>
    <row r="28" spans="1:15" s="502" customFormat="1" ht="25.05" customHeight="1" thickBot="1">
      <c r="A28" s="928"/>
      <c r="B28" s="37"/>
      <c r="C28" s="38"/>
      <c r="D28" s="38"/>
      <c r="E28" s="38"/>
      <c r="F28" s="38"/>
      <c r="G28" s="38"/>
      <c r="H28" s="38"/>
      <c r="I28" s="38"/>
      <c r="J28" s="585"/>
      <c r="K28" s="586"/>
      <c r="L28" s="586"/>
      <c r="M28" s="587"/>
      <c r="N28" s="505"/>
      <c r="O28" s="570"/>
    </row>
    <row r="29" spans="1:15" s="502" customFormat="1" ht="28.05" customHeight="1" thickTop="1">
      <c r="A29" s="929"/>
      <c r="B29" s="39" t="s">
        <v>19</v>
      </c>
      <c r="C29" s="654">
        <f>SUM(C23:C28)</f>
        <v>149824</v>
      </c>
      <c r="D29" s="654">
        <f>SUM(D23:D28)</f>
        <v>1308004</v>
      </c>
      <c r="E29" s="654">
        <f t="shared" ref="E29:G29" si="9">SUM(E23:E28)</f>
        <v>854084</v>
      </c>
      <c r="F29" s="654">
        <f t="shared" si="9"/>
        <v>2168678</v>
      </c>
      <c r="G29" s="654">
        <f t="shared" si="9"/>
        <v>15000</v>
      </c>
      <c r="H29" s="654">
        <f>SUM(H23:H28)</f>
        <v>3491681</v>
      </c>
      <c r="I29" s="654">
        <v>3040851</v>
      </c>
      <c r="J29" s="591"/>
      <c r="K29" s="592">
        <f>SUM(K4:K22)</f>
        <v>109004</v>
      </c>
      <c r="L29" s="592">
        <f>SUM(L4:L22)</f>
        <v>21752</v>
      </c>
      <c r="M29" s="655">
        <f>SUM(M4:M21)</f>
        <v>1268581</v>
      </c>
      <c r="N29" s="505">
        <f>M29/I29</f>
        <v>0.41717959873732713</v>
      </c>
      <c r="O29" s="570"/>
    </row>
    <row r="30" spans="1:15" s="502" customFormat="1" ht="33" customHeight="1">
      <c r="A30"/>
      <c r="B30" s="40"/>
      <c r="H30" s="40" t="s">
        <v>20</v>
      </c>
      <c r="I30" s="613"/>
      <c r="M30" s="504"/>
      <c r="N30" s="505"/>
    </row>
  </sheetData>
  <mergeCells count="26">
    <mergeCell ref="A22:B22"/>
    <mergeCell ref="A23:A29"/>
    <mergeCell ref="A20:A21"/>
    <mergeCell ref="B20:B21"/>
    <mergeCell ref="K20:K21"/>
    <mergeCell ref="L20:L21"/>
    <mergeCell ref="M20:M21"/>
    <mergeCell ref="N20:N21"/>
    <mergeCell ref="A7:B11"/>
    <mergeCell ref="A12:B13"/>
    <mergeCell ref="A14:B14"/>
    <mergeCell ref="A16:B16"/>
    <mergeCell ref="A17:B17"/>
    <mergeCell ref="A18:B18"/>
    <mergeCell ref="M2:M3"/>
    <mergeCell ref="A1:F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</mergeCells>
  <phoneticPr fontId="3"/>
  <conditionalFormatting sqref="E17:E18 F17:F21 J17:J21 E20:E21">
    <cfRule type="expression" dxfId="215" priority="29">
      <formula>COUNTIF(#REF!,"*一部*")</formula>
    </cfRule>
    <cfRule type="expression" dxfId="214" priority="30">
      <formula>COUNTIF(#REF!,"*未*")</formula>
    </cfRule>
  </conditionalFormatting>
  <conditionalFormatting sqref="E17:E18 F17:F21 J17:J21">
    <cfRule type="expression" dxfId="213" priority="28">
      <formula>COUNTIF(#REF!,"*済*")</formula>
    </cfRule>
  </conditionalFormatting>
  <conditionalFormatting sqref="E17:F19">
    <cfRule type="expression" dxfId="212" priority="26">
      <formula>COUNTIF(#REF!,"*一部*")</formula>
    </cfRule>
    <cfRule type="expression" dxfId="211" priority="27">
      <formula>COUNTIF(#REF!,"*未*")</formula>
    </cfRule>
  </conditionalFormatting>
  <conditionalFormatting sqref="E17:F21">
    <cfRule type="expression" dxfId="210" priority="25">
      <formula>COUNTIF(#REF!,"*済*")</formula>
    </cfRule>
  </conditionalFormatting>
  <conditionalFormatting sqref="E16:G16 H18:J18 J16:K16 J17">
    <cfRule type="expression" dxfId="209" priority="16">
      <formula>COUNTIF(#REF!,"*済*")</formula>
    </cfRule>
  </conditionalFormatting>
  <conditionalFormatting sqref="E16:G16 J16:K16 J17 H18:J18">
    <cfRule type="expression" dxfId="208" priority="17">
      <formula>COUNTIF(#REF!,"*一部*")</formula>
    </cfRule>
    <cfRule type="expression" dxfId="207" priority="18">
      <formula>COUNTIF(#REF!,"*未*")</formula>
    </cfRule>
  </conditionalFormatting>
  <conditionalFormatting sqref="E16:G16">
    <cfRule type="expression" dxfId="206" priority="13">
      <formula>COUNTIF(#REF!,"*済*")</formula>
    </cfRule>
    <cfRule type="expression" dxfId="205" priority="14">
      <formula>COUNTIF(#REF!,"*一部*")</formula>
    </cfRule>
    <cfRule type="expression" dxfId="204" priority="15">
      <formula>COUNTIF(#REF!,"*未*")</formula>
    </cfRule>
  </conditionalFormatting>
  <conditionalFormatting sqref="F17:F21">
    <cfRule type="expression" dxfId="203" priority="20">
      <formula>COUNTIF(#REF!,"*一部*")</formula>
    </cfRule>
    <cfRule type="expression" dxfId="202" priority="19">
      <formula>COUNTIF(#REF!,"*済*")</formula>
    </cfRule>
    <cfRule type="expression" dxfId="201" priority="21">
      <formula>COUNTIF(#REF!,"*未*")</formula>
    </cfRule>
    <cfRule type="expression" dxfId="200" priority="22">
      <formula>COUNTIF(#REF!,"*済*")</formula>
    </cfRule>
    <cfRule type="expression" dxfId="199" priority="23">
      <formula>COUNTIF(#REF!,"*一部*")</formula>
    </cfRule>
    <cfRule type="expression" dxfId="198" priority="24">
      <formula>COUNTIF(#REF!,"*未*")</formula>
    </cfRule>
  </conditionalFormatting>
  <conditionalFormatting sqref="H18">
    <cfRule type="expression" dxfId="197" priority="3">
      <formula>COUNTIF(#REF!,"*未*")</formula>
    </cfRule>
    <cfRule type="expression" dxfId="196" priority="4">
      <formula>COUNTIF(#REF!,"*済*")</formula>
    </cfRule>
    <cfRule type="expression" dxfId="195" priority="5">
      <formula>COUNTIF(#REF!,"*一部*")</formula>
    </cfRule>
    <cfRule type="expression" dxfId="194" priority="6">
      <formula>COUNTIF(#REF!,"*未*")</formula>
    </cfRule>
    <cfRule type="expression" dxfId="193" priority="7">
      <formula>COUNTIF(#REF!,"*済*")</formula>
    </cfRule>
    <cfRule type="expression" dxfId="192" priority="8">
      <formula>COUNTIF(#REF!,"*一部*")</formula>
    </cfRule>
    <cfRule type="expression" dxfId="191" priority="9">
      <formula>COUNTIF(#REF!,"*未*")</formula>
    </cfRule>
    <cfRule type="expression" dxfId="190" priority="1">
      <formula>COUNTIF(#REF!,"*済*")</formula>
    </cfRule>
    <cfRule type="expression" dxfId="189" priority="2">
      <formula>COUNTIF(#REF!,"*一部*")</formula>
    </cfRule>
  </conditionalFormatting>
  <conditionalFormatting sqref="H18:I18">
    <cfRule type="expression" dxfId="188" priority="11">
      <formula>COUNTIF(#REF!,"*一部*")</formula>
    </cfRule>
    <cfRule type="expression" dxfId="187" priority="10">
      <formula>COUNTIF(#REF!,"*済*")</formula>
    </cfRule>
    <cfRule type="expression" dxfId="186" priority="12">
      <formula>COUNTIF(#REF!,"*未*")</formula>
    </cfRule>
  </conditionalFormatting>
  <conditionalFormatting sqref="J16:K16">
    <cfRule type="expression" dxfId="185" priority="31">
      <formula>COUNTIF(#REF!,"*済*")</formula>
    </cfRule>
    <cfRule type="expression" dxfId="184" priority="32">
      <formula>COUNTIF(#REF!,"*一部*")</formula>
    </cfRule>
    <cfRule type="expression" dxfId="183" priority="33">
      <formula>COUNTIF(#REF!,"*未*")</formula>
    </cfRule>
  </conditionalFormatting>
  <printOptions horizontalCentered="1"/>
  <pageMargins left="0.19685039370078741" right="0.19685039370078741" top="0.55118110236220474" bottom="0.15748031496062992" header="0.31496062992125984" footer="0.31496062992125984"/>
  <pageSetup paperSize="9" scale="7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1A6C-AF85-44E7-8BCD-14C594470609}">
  <sheetPr>
    <pageSetUpPr fitToPage="1"/>
  </sheetPr>
  <dimension ref="A1:Q27"/>
  <sheetViews>
    <sheetView zoomScale="90" zoomScaleNormal="90" workbookViewId="0">
      <pane ySplit="3" topLeftCell="A21" activePane="bottomLeft" state="frozen"/>
      <selection activeCell="D1" sqref="D1"/>
      <selection pane="bottomLeft" activeCell="K29" sqref="K29"/>
    </sheetView>
  </sheetViews>
  <sheetFormatPr defaultRowHeight="13.2"/>
  <cols>
    <col min="1" max="1" width="10.6640625" customWidth="1"/>
    <col min="2" max="2" width="11.33203125" style="42" customWidth="1"/>
    <col min="3" max="3" width="10.6640625" style="502" customWidth="1"/>
    <col min="4" max="4" width="12.6640625" style="502" customWidth="1"/>
    <col min="5" max="5" width="10.6640625" style="502" customWidth="1"/>
    <col min="6" max="6" width="12.6640625" style="502" customWidth="1"/>
    <col min="7" max="7" width="10.6640625" style="502" customWidth="1"/>
    <col min="8" max="8" width="11.77734375" style="502" customWidth="1"/>
    <col min="9" max="9" width="13.6640625" style="570" customWidth="1"/>
    <col min="10" max="10" width="43.4414062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226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79" t="s">
        <v>5</v>
      </c>
      <c r="H2" s="981" t="s">
        <v>160</v>
      </c>
      <c r="I2" s="983" t="s">
        <v>161</v>
      </c>
      <c r="J2" s="964" t="s">
        <v>7</v>
      </c>
      <c r="K2" s="966" t="s">
        <v>162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80"/>
      <c r="H3" s="982"/>
      <c r="I3" s="955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45891</v>
      </c>
      <c r="B4" s="511" t="s">
        <v>13</v>
      </c>
      <c r="C4" s="475">
        <v>58180</v>
      </c>
      <c r="D4" s="475">
        <f>C4*8.5</f>
        <v>494530</v>
      </c>
      <c r="E4" s="475">
        <v>125719</v>
      </c>
      <c r="F4" s="512">
        <v>241734</v>
      </c>
      <c r="G4" s="512">
        <v>10000</v>
      </c>
      <c r="H4" s="512">
        <f>SUM(G4,F4,D4)</f>
        <v>746264</v>
      </c>
      <c r="I4" s="651">
        <f>H4*1.1</f>
        <v>820890.4</v>
      </c>
      <c r="J4" s="514"/>
      <c r="K4" s="515">
        <v>11380</v>
      </c>
      <c r="L4" s="515">
        <v>7373</v>
      </c>
      <c r="M4" s="516">
        <v>282071</v>
      </c>
      <c r="N4" s="505">
        <f t="shared" ref="N4:N5" si="0">M4/I4</f>
        <v>0.34361590779962831</v>
      </c>
    </row>
    <row r="5" spans="1:17" ht="25.05" customHeight="1">
      <c r="A5" s="518">
        <v>45898</v>
      </c>
      <c r="B5" s="9" t="s">
        <v>14</v>
      </c>
      <c r="C5" s="519">
        <v>69622</v>
      </c>
      <c r="D5" s="519">
        <v>592823</v>
      </c>
      <c r="E5" s="229">
        <v>368053</v>
      </c>
      <c r="F5" s="230">
        <v>754988</v>
      </c>
      <c r="G5" s="230">
        <v>7000</v>
      </c>
      <c r="H5" s="520">
        <f>SUM(G5,F5,D5)</f>
        <v>1354811</v>
      </c>
      <c r="I5" s="558">
        <f>H5*1.1</f>
        <v>1490292.1</v>
      </c>
      <c r="J5" s="522" t="s">
        <v>227</v>
      </c>
      <c r="K5" s="523">
        <v>14620</v>
      </c>
      <c r="L5" s="523">
        <v>10108</v>
      </c>
      <c r="M5" s="524">
        <v>384262</v>
      </c>
      <c r="N5" s="505">
        <f t="shared" si="0"/>
        <v>0.25784341203982764</v>
      </c>
    </row>
    <row r="6" spans="1:17" ht="22.05" customHeight="1">
      <c r="A6" s="15"/>
      <c r="B6" s="21"/>
      <c r="C6" s="525"/>
      <c r="D6" s="525"/>
      <c r="E6" s="525"/>
      <c r="F6" s="526"/>
      <c r="G6" s="526"/>
      <c r="H6" s="526"/>
      <c r="I6" s="527"/>
      <c r="J6" s="528"/>
      <c r="K6" s="529"/>
      <c r="L6" s="529"/>
      <c r="M6" s="530"/>
    </row>
    <row r="7" spans="1:17" ht="22.05" customHeight="1">
      <c r="A7" s="925" t="s">
        <v>228</v>
      </c>
      <c r="B7" s="926"/>
      <c r="C7" s="531"/>
      <c r="D7" s="531"/>
      <c r="E7" s="18">
        <v>10000</v>
      </c>
      <c r="F7" s="19">
        <f t="shared" ref="F7:F8" si="1">E7*4</f>
        <v>40000</v>
      </c>
      <c r="G7" s="19"/>
      <c r="H7" s="19">
        <f t="shared" ref="H7:H9" si="2">SUM(G7,F7,D7)</f>
        <v>40000</v>
      </c>
      <c r="I7" s="532">
        <f t="shared" ref="I7:I9" si="3">H7*1.1</f>
        <v>44000</v>
      </c>
      <c r="J7" s="25"/>
      <c r="K7" s="533"/>
      <c r="L7" s="533"/>
      <c r="M7" s="534">
        <v>16520</v>
      </c>
      <c r="N7" s="505">
        <f t="shared" ref="N7:N9" si="4">M7/I7</f>
        <v>0.37545454545454543</v>
      </c>
    </row>
    <row r="8" spans="1:17" ht="22.05" customHeight="1">
      <c r="A8" s="925" t="s">
        <v>229</v>
      </c>
      <c r="B8" s="926"/>
      <c r="C8" s="531"/>
      <c r="D8" s="531"/>
      <c r="E8" s="18">
        <v>10000</v>
      </c>
      <c r="F8" s="19">
        <f t="shared" si="1"/>
        <v>40000</v>
      </c>
      <c r="G8" s="19"/>
      <c r="H8" s="19">
        <f t="shared" si="2"/>
        <v>40000</v>
      </c>
      <c r="I8" s="532">
        <f t="shared" si="3"/>
        <v>44000</v>
      </c>
      <c r="J8" s="25"/>
      <c r="K8" s="533"/>
      <c r="L8" s="533"/>
      <c r="M8" s="534">
        <v>0</v>
      </c>
      <c r="N8" s="505">
        <f t="shared" si="4"/>
        <v>0</v>
      </c>
    </row>
    <row r="9" spans="1:17" ht="22.05" customHeight="1">
      <c r="A9" s="925" t="s">
        <v>230</v>
      </c>
      <c r="B9" s="926"/>
      <c r="C9" s="531"/>
      <c r="D9" s="531"/>
      <c r="E9" s="18">
        <v>6473</v>
      </c>
      <c r="F9" s="19">
        <f>E9*4</f>
        <v>25892</v>
      </c>
      <c r="G9" s="19"/>
      <c r="H9" s="19">
        <f t="shared" si="2"/>
        <v>25892</v>
      </c>
      <c r="I9" s="532">
        <f t="shared" si="3"/>
        <v>28481.200000000001</v>
      </c>
      <c r="J9" s="25"/>
      <c r="K9" s="533">
        <v>1200</v>
      </c>
      <c r="L9" s="533">
        <v>591</v>
      </c>
      <c r="M9" s="534">
        <f>SUM(K9:L9)</f>
        <v>1791</v>
      </c>
      <c r="N9" s="505">
        <f t="shared" si="4"/>
        <v>6.2883586365743011E-2</v>
      </c>
    </row>
    <row r="10" spans="1:17" ht="22.05" customHeight="1">
      <c r="A10" s="15"/>
      <c r="B10" s="26"/>
      <c r="C10" s="18"/>
      <c r="D10" s="19"/>
      <c r="E10" s="43"/>
      <c r="F10" s="19"/>
      <c r="G10" s="19"/>
      <c r="H10" s="19"/>
      <c r="I10" s="532"/>
      <c r="J10" s="25"/>
      <c r="K10" s="533"/>
      <c r="L10" s="533"/>
      <c r="M10" s="534"/>
    </row>
    <row r="11" spans="1:17" ht="22.05" customHeight="1">
      <c r="A11" s="925" t="s">
        <v>231</v>
      </c>
      <c r="B11" s="926"/>
      <c r="C11" s="531"/>
      <c r="D11" s="535"/>
      <c r="E11" s="536">
        <v>80280</v>
      </c>
      <c r="F11" s="537">
        <v>269561</v>
      </c>
      <c r="G11" s="538"/>
      <c r="H11" s="538">
        <f>SUM(F11,G11)</f>
        <v>269561</v>
      </c>
      <c r="I11" s="539">
        <f>H11*1.1</f>
        <v>296517.10000000003</v>
      </c>
      <c r="J11" s="540"/>
      <c r="K11" s="541">
        <v>5910</v>
      </c>
      <c r="L11" s="541">
        <v>2127</v>
      </c>
      <c r="M11" s="542">
        <v>80192</v>
      </c>
      <c r="N11" s="505">
        <f>M11/I11</f>
        <v>0.27044645991748872</v>
      </c>
    </row>
    <row r="12" spans="1:17" ht="22.05" customHeight="1">
      <c r="A12" s="925" t="s">
        <v>232</v>
      </c>
      <c r="B12" s="926"/>
      <c r="C12" s="531"/>
      <c r="D12" s="535"/>
      <c r="E12" s="543">
        <v>60120</v>
      </c>
      <c r="F12" s="544">
        <v>171342</v>
      </c>
      <c r="G12" s="171"/>
      <c r="H12" s="538">
        <f>SUM(F12,G12)</f>
        <v>171342</v>
      </c>
      <c r="I12" s="539">
        <f>H12*1.1</f>
        <v>188476.2</v>
      </c>
      <c r="J12" s="540"/>
      <c r="K12" s="542">
        <v>1120</v>
      </c>
      <c r="L12" s="542">
        <v>667</v>
      </c>
      <c r="M12" s="542">
        <v>5401</v>
      </c>
      <c r="N12" s="505">
        <f>M12/I12</f>
        <v>2.8656138016364928E-2</v>
      </c>
    </row>
    <row r="13" spans="1:17" ht="22.05" customHeight="1">
      <c r="A13" s="925"/>
      <c r="B13" s="926"/>
      <c r="C13" s="531"/>
      <c r="D13" s="535"/>
      <c r="E13" s="543"/>
      <c r="F13" s="544"/>
      <c r="G13" s="171"/>
      <c r="H13" s="546"/>
      <c r="I13" s="539"/>
      <c r="J13" s="540"/>
      <c r="K13" s="542"/>
      <c r="L13" s="542"/>
      <c r="M13" s="542"/>
    </row>
    <row r="14" spans="1:17" ht="22.05" customHeight="1">
      <c r="A14" s="15"/>
      <c r="B14" s="26"/>
      <c r="C14" s="18"/>
      <c r="D14" s="19"/>
      <c r="E14" s="543"/>
      <c r="F14" s="544"/>
      <c r="G14" s="171"/>
      <c r="H14" s="546"/>
      <c r="I14" s="539"/>
      <c r="J14" s="545"/>
      <c r="K14" s="542"/>
      <c r="L14" s="542"/>
      <c r="M14" s="542"/>
    </row>
    <row r="15" spans="1:17" ht="22.05" customHeight="1">
      <c r="A15" s="986" t="s">
        <v>233</v>
      </c>
      <c r="B15" s="987"/>
      <c r="C15" s="531"/>
      <c r="D15" s="535"/>
      <c r="E15" s="652">
        <v>20000</v>
      </c>
      <c r="F15" s="544">
        <f>E15*8</f>
        <v>160000</v>
      </c>
      <c r="G15" s="171"/>
      <c r="H15" s="546">
        <f>SUM(G15,F15)</f>
        <v>160000</v>
      </c>
      <c r="I15" s="532">
        <f>H15*1.1</f>
        <v>176000</v>
      </c>
      <c r="J15" s="545" t="s">
        <v>234</v>
      </c>
      <c r="K15" s="542">
        <v>3500</v>
      </c>
      <c r="L15" s="542">
        <v>1650</v>
      </c>
      <c r="M15" s="542">
        <v>47150</v>
      </c>
      <c r="N15" s="505">
        <f>M15/I15</f>
        <v>0.26789772727272726</v>
      </c>
    </row>
    <row r="16" spans="1:17" ht="22.05" customHeight="1">
      <c r="A16" s="925"/>
      <c r="B16" s="926"/>
      <c r="C16" s="18"/>
      <c r="D16" s="18"/>
      <c r="E16" s="18"/>
      <c r="F16" s="19"/>
      <c r="G16" s="19"/>
      <c r="H16" s="19"/>
      <c r="I16" s="532"/>
      <c r="J16" s="25"/>
      <c r="K16" s="533"/>
      <c r="L16" s="533"/>
      <c r="M16" s="534"/>
      <c r="N16" s="648"/>
      <c r="O16" s="1"/>
      <c r="P16" s="1"/>
      <c r="Q16" s="1"/>
    </row>
    <row r="17" spans="1:15" s="502" customFormat="1" ht="22.05" customHeight="1">
      <c r="A17" s="988" t="s">
        <v>17</v>
      </c>
      <c r="B17" s="936" t="s">
        <v>235</v>
      </c>
      <c r="C17" s="142">
        <v>8850</v>
      </c>
      <c r="D17" s="131">
        <f t="shared" ref="D17:D18" si="5">C17*10</f>
        <v>88500</v>
      </c>
      <c r="E17" s="600">
        <v>34500</v>
      </c>
      <c r="F17" s="601">
        <v>51750</v>
      </c>
      <c r="G17" s="142"/>
      <c r="H17" s="551">
        <f t="shared" ref="H17:H19" si="6">SUM(G17,F17,D17)</f>
        <v>140250</v>
      </c>
      <c r="I17" s="552">
        <f t="shared" ref="I17:I18" si="7">H17*1.1</f>
        <v>154275</v>
      </c>
      <c r="J17" s="553" t="s">
        <v>179</v>
      </c>
      <c r="K17" s="992"/>
      <c r="L17" s="992"/>
      <c r="M17" s="975">
        <v>135690</v>
      </c>
      <c r="N17" s="985">
        <v>0.35199999999999998</v>
      </c>
    </row>
    <row r="18" spans="1:15" s="502" customFormat="1" ht="22.05" customHeight="1">
      <c r="A18" s="989"/>
      <c r="B18" s="937"/>
      <c r="C18" s="10">
        <v>12350</v>
      </c>
      <c r="D18" s="520">
        <f t="shared" si="5"/>
        <v>123500</v>
      </c>
      <c r="E18" s="602">
        <v>66550</v>
      </c>
      <c r="F18" s="603">
        <v>99825</v>
      </c>
      <c r="G18" s="10"/>
      <c r="H18" s="604">
        <f t="shared" si="6"/>
        <v>223325</v>
      </c>
      <c r="I18" s="558">
        <f t="shared" si="7"/>
        <v>245657.50000000003</v>
      </c>
      <c r="J18" s="559" t="s">
        <v>236</v>
      </c>
      <c r="K18" s="993"/>
      <c r="L18" s="993"/>
      <c r="M18" s="984"/>
      <c r="N18" s="985"/>
    </row>
    <row r="19" spans="1:15" s="502" customFormat="1" ht="22.05" customHeight="1">
      <c r="A19" s="990"/>
      <c r="B19" s="991"/>
      <c r="C19" s="139">
        <f>SUM(C17:C18)</f>
        <v>21200</v>
      </c>
      <c r="D19" s="118">
        <f>SUM(D17:D18)</f>
        <v>212000</v>
      </c>
      <c r="E19" s="118">
        <f t="shared" ref="E19:F19" si="8">SUM(E17:E18)</f>
        <v>101050</v>
      </c>
      <c r="F19" s="118">
        <f t="shared" si="8"/>
        <v>151575</v>
      </c>
      <c r="G19" s="139"/>
      <c r="H19" s="604">
        <f t="shared" si="6"/>
        <v>363575</v>
      </c>
      <c r="I19" s="606">
        <f>SUM(I17:I18)</f>
        <v>399932.5</v>
      </c>
      <c r="J19" s="559"/>
      <c r="K19" s="994"/>
      <c r="L19" s="994"/>
      <c r="M19" s="976"/>
      <c r="N19" s="985"/>
    </row>
    <row r="20" spans="1:15" s="502" customFormat="1" ht="25.05" customHeight="1">
      <c r="A20" s="927" t="s">
        <v>237</v>
      </c>
      <c r="B20" s="563" t="s">
        <v>182</v>
      </c>
      <c r="C20" s="564">
        <f t="shared" ref="C20:G20" si="9">SUM(C7:C9,C4:C5)</f>
        <v>127802</v>
      </c>
      <c r="D20" s="564">
        <f t="shared" si="9"/>
        <v>1087353</v>
      </c>
      <c r="E20" s="564">
        <f t="shared" si="9"/>
        <v>520245</v>
      </c>
      <c r="F20" s="564">
        <f t="shared" si="9"/>
        <v>1102614</v>
      </c>
      <c r="G20" s="565">
        <f t="shared" si="9"/>
        <v>17000</v>
      </c>
      <c r="H20" s="565">
        <v>2206966</v>
      </c>
      <c r="I20" s="653">
        <v>2427663</v>
      </c>
      <c r="J20" s="567" t="s">
        <v>198</v>
      </c>
      <c r="K20" s="568"/>
      <c r="L20" s="568"/>
      <c r="M20" s="569"/>
      <c r="N20" s="505"/>
      <c r="O20" s="570"/>
    </row>
    <row r="21" spans="1:15" s="502" customFormat="1" ht="25.05" customHeight="1">
      <c r="A21" s="928"/>
      <c r="B21" s="571"/>
      <c r="C21" s="572"/>
      <c r="D21" s="572"/>
      <c r="E21" s="572"/>
      <c r="F21" s="572"/>
      <c r="G21" s="572"/>
      <c r="H21" s="573"/>
      <c r="I21" s="574"/>
      <c r="J21" s="575"/>
      <c r="K21" s="576"/>
      <c r="L21" s="576"/>
      <c r="M21" s="577"/>
      <c r="N21" s="505"/>
      <c r="O21" s="570"/>
    </row>
    <row r="22" spans="1:15" s="502" customFormat="1" ht="25.05" customHeight="1">
      <c r="A22" s="928"/>
      <c r="B22" s="578" t="s">
        <v>5</v>
      </c>
      <c r="C22" s="579"/>
      <c r="D22" s="579"/>
      <c r="E22" s="579">
        <f>SUM(E11:E13)</f>
        <v>140400</v>
      </c>
      <c r="F22" s="579">
        <f>SUM(F11:F13)</f>
        <v>440903</v>
      </c>
      <c r="G22" s="579"/>
      <c r="H22" s="580">
        <f>SUM(G22,F22,D22)</f>
        <v>440903</v>
      </c>
      <c r="I22" s="581">
        <f>SUM(I11:I13)</f>
        <v>484993.30000000005</v>
      </c>
      <c r="J22" s="582" t="s">
        <v>183</v>
      </c>
      <c r="K22" s="576"/>
      <c r="L22" s="576"/>
      <c r="M22" s="577"/>
      <c r="N22" s="505"/>
      <c r="O22" s="570"/>
    </row>
    <row r="23" spans="1:15" s="502" customFormat="1" ht="25.05" customHeight="1">
      <c r="A23" s="928"/>
      <c r="B23" s="578"/>
      <c r="C23" s="579">
        <f>SUM(C17:C18)</f>
        <v>21200</v>
      </c>
      <c r="D23" s="579">
        <f>SUM(D17:D18)</f>
        <v>212000</v>
      </c>
      <c r="E23" s="579">
        <f>SUM(E17:E18)</f>
        <v>101050</v>
      </c>
      <c r="F23" s="579">
        <f>SUM(F17:F18)</f>
        <v>151575</v>
      </c>
      <c r="G23" s="579"/>
      <c r="H23" s="580">
        <f>SUM(G23,F23,D23)</f>
        <v>363575</v>
      </c>
      <c r="I23" s="581">
        <f>SUM(I19)</f>
        <v>399932.5</v>
      </c>
      <c r="J23" s="582" t="s">
        <v>238</v>
      </c>
      <c r="K23" s="576"/>
      <c r="L23" s="576"/>
      <c r="M23" s="577"/>
      <c r="N23" s="505"/>
      <c r="O23" s="570"/>
    </row>
    <row r="24" spans="1:15" s="502" customFormat="1" ht="25.05" customHeight="1">
      <c r="A24" s="928"/>
      <c r="B24" s="578"/>
      <c r="C24" s="579"/>
      <c r="D24" s="579"/>
      <c r="E24" s="579">
        <f>SUM(E15)</f>
        <v>20000</v>
      </c>
      <c r="F24" s="579">
        <f t="shared" ref="F24:I24" si="10">SUM(F15)</f>
        <v>160000</v>
      </c>
      <c r="G24" s="579">
        <f t="shared" si="10"/>
        <v>0</v>
      </c>
      <c r="H24" s="580">
        <f t="shared" si="10"/>
        <v>160000</v>
      </c>
      <c r="I24" s="581">
        <f t="shared" si="10"/>
        <v>176000</v>
      </c>
      <c r="J24" s="582" t="s">
        <v>239</v>
      </c>
      <c r="K24" s="576"/>
      <c r="L24" s="576"/>
      <c r="M24" s="577"/>
      <c r="N24" s="505"/>
      <c r="O24" s="570"/>
    </row>
    <row r="25" spans="1:15" s="502" customFormat="1" ht="25.05" customHeight="1" thickBot="1">
      <c r="A25" s="928"/>
      <c r="B25" s="37"/>
      <c r="C25" s="38"/>
      <c r="D25" s="38"/>
      <c r="E25" s="38"/>
      <c r="F25" s="38"/>
      <c r="G25" s="38"/>
      <c r="H25" s="583"/>
      <c r="I25" s="584"/>
      <c r="J25" s="585"/>
      <c r="K25" s="586"/>
      <c r="L25" s="586"/>
      <c r="M25" s="587"/>
      <c r="N25" s="505"/>
      <c r="O25" s="570"/>
    </row>
    <row r="26" spans="1:15" s="502" customFormat="1" ht="28.05" customHeight="1" thickTop="1">
      <c r="A26" s="929"/>
      <c r="B26" s="39" t="s">
        <v>19</v>
      </c>
      <c r="C26" s="588">
        <f>SUM(C20:C25)</f>
        <v>149002</v>
      </c>
      <c r="D26" s="588">
        <f t="shared" ref="D26:H26" si="11">SUM(D20:D25)</f>
        <v>1299353</v>
      </c>
      <c r="E26" s="588">
        <f t="shared" si="11"/>
        <v>781695</v>
      </c>
      <c r="F26" s="588">
        <f t="shared" si="11"/>
        <v>1855092</v>
      </c>
      <c r="G26" s="588">
        <f t="shared" si="11"/>
        <v>17000</v>
      </c>
      <c r="H26" s="588">
        <f t="shared" si="11"/>
        <v>3171444</v>
      </c>
      <c r="I26" s="590">
        <f>SUM(I20:I25)</f>
        <v>3488588.8</v>
      </c>
      <c r="J26" s="591"/>
      <c r="K26" s="592"/>
      <c r="L26" s="592"/>
      <c r="M26" s="593">
        <f>SUM(M17,M15,M11:M12,M7:M9,M4:M5)</f>
        <v>953077</v>
      </c>
      <c r="N26" s="505">
        <f t="shared" ref="N26" si="12">M26/I26</f>
        <v>0.27319843485136458</v>
      </c>
      <c r="O26" s="570"/>
    </row>
    <row r="27" spans="1:15" s="502" customFormat="1" ht="33" customHeight="1">
      <c r="A27"/>
      <c r="B27" s="40" t="s">
        <v>20</v>
      </c>
      <c r="F27" s="594" t="s">
        <v>157</v>
      </c>
      <c r="I27" s="613"/>
      <c r="M27" s="504"/>
      <c r="N27" s="505"/>
    </row>
  </sheetData>
  <mergeCells count="27">
    <mergeCell ref="M17:M19"/>
    <mergeCell ref="N17:N19"/>
    <mergeCell ref="A20:A26"/>
    <mergeCell ref="A15:B15"/>
    <mergeCell ref="A16:B16"/>
    <mergeCell ref="A17:A19"/>
    <mergeCell ref="B17:B19"/>
    <mergeCell ref="K17:K19"/>
    <mergeCell ref="L17:L19"/>
    <mergeCell ref="A13:B13"/>
    <mergeCell ref="H2:H3"/>
    <mergeCell ref="I2:I3"/>
    <mergeCell ref="J2:J3"/>
    <mergeCell ref="K2:K3"/>
    <mergeCell ref="A7:B7"/>
    <mergeCell ref="A8:B8"/>
    <mergeCell ref="A9:B9"/>
    <mergeCell ref="A11:B11"/>
    <mergeCell ref="A12:B12"/>
    <mergeCell ref="L2:L3"/>
    <mergeCell ref="M2:M3"/>
    <mergeCell ref="A1:F1"/>
    <mergeCell ref="A2:A3"/>
    <mergeCell ref="B2:B3"/>
    <mergeCell ref="C2:D2"/>
    <mergeCell ref="E2:F2"/>
    <mergeCell ref="G2:G3"/>
  </mergeCells>
  <phoneticPr fontId="3"/>
  <conditionalFormatting sqref="E12:F15 E17:F18 J12:J15 I13:I14">
    <cfRule type="expression" dxfId="182" priority="31">
      <formula>COUNTIF(#REF!,"*済*")</formula>
    </cfRule>
  </conditionalFormatting>
  <conditionalFormatting sqref="E12:F15 J12:J15 I13:I14 E17:F18">
    <cfRule type="expression" dxfId="181" priority="32">
      <formula>COUNTIF(#REF!,"*一部*")</formula>
    </cfRule>
    <cfRule type="expression" dxfId="180" priority="33">
      <formula>COUNTIF(#REF!,"*未*")</formula>
    </cfRule>
  </conditionalFormatting>
  <conditionalFormatting sqref="E11:I11">
    <cfRule type="expression" dxfId="179" priority="17">
      <formula>COUNTIF(#REF!,"*一部*")</formula>
    </cfRule>
    <cfRule type="expression" dxfId="178" priority="18">
      <formula>COUNTIF(#REF!,"*未*")</formula>
    </cfRule>
    <cfRule type="expression" dxfId="177" priority="16">
      <formula>COUNTIF(#REF!,"*済*")</formula>
    </cfRule>
  </conditionalFormatting>
  <conditionalFormatting sqref="E11:K11 H12:I12 J12:J15 I13:I14">
    <cfRule type="expression" dxfId="176" priority="19">
      <formula>COUNTIF(#REF!,"*済*")</formula>
    </cfRule>
    <cfRule type="expression" dxfId="175" priority="20">
      <formula>COUNTIF(#REF!,"*一部*")</formula>
    </cfRule>
    <cfRule type="expression" dxfId="174" priority="21">
      <formula>COUNTIF(#REF!,"*未*")</formula>
    </cfRule>
  </conditionalFormatting>
  <conditionalFormatting sqref="F12:F15 F17:F18">
    <cfRule type="expression" dxfId="173" priority="22">
      <formula>COUNTIF(#REF!,"*済*")</formula>
    </cfRule>
    <cfRule type="expression" dxfId="172" priority="23">
      <formula>COUNTIF(#REF!,"*一部*")</formula>
    </cfRule>
    <cfRule type="expression" dxfId="171" priority="24">
      <formula>COUNTIF(#REF!,"*未*")</formula>
    </cfRule>
    <cfRule type="expression" dxfId="170" priority="25">
      <formula>COUNTIF(#REF!,"*済*")</formula>
    </cfRule>
    <cfRule type="expression" dxfId="169" priority="26">
      <formula>COUNTIF(#REF!,"*一部*")</formula>
    </cfRule>
    <cfRule type="expression" dxfId="168" priority="27">
      <formula>COUNTIF(#REF!,"*未*")</formula>
    </cfRule>
    <cfRule type="expression" dxfId="167" priority="28">
      <formula>COUNTIF(#REF!,"*済*")</formula>
    </cfRule>
    <cfRule type="expression" dxfId="166" priority="29">
      <formula>COUNTIF(#REF!,"*一部*")</formula>
    </cfRule>
    <cfRule type="expression" dxfId="165" priority="30">
      <formula>COUNTIF(#REF!,"*未*")</formula>
    </cfRule>
  </conditionalFormatting>
  <conditionalFormatting sqref="H13:H15">
    <cfRule type="expression" dxfId="164" priority="4">
      <formula>COUNTIF(#REF!,"*済*")</formula>
    </cfRule>
    <cfRule type="expression" dxfId="163" priority="5">
      <formula>COUNTIF(#REF!,"*一部*")</formula>
    </cfRule>
    <cfRule type="expression" dxfId="162" priority="6">
      <formula>COUNTIF(#REF!,"*未*")</formula>
    </cfRule>
    <cfRule type="expression" dxfId="161" priority="7">
      <formula>COUNTIF(#REF!,"*済*")</formula>
    </cfRule>
    <cfRule type="expression" dxfId="160" priority="8">
      <formula>COUNTIF(#REF!,"*一部*")</formula>
    </cfRule>
    <cfRule type="expression" dxfId="159" priority="9">
      <formula>COUNTIF(#REF!,"*未*")</formula>
    </cfRule>
    <cfRule type="expression" dxfId="158" priority="10">
      <formula>COUNTIF(#REF!,"*済*")</formula>
    </cfRule>
    <cfRule type="expression" dxfId="157" priority="11">
      <formula>COUNTIF(#REF!,"*一部*")</formula>
    </cfRule>
    <cfRule type="expression" dxfId="156" priority="12">
      <formula>COUNTIF(#REF!,"*未*")</formula>
    </cfRule>
    <cfRule type="expression" dxfId="155" priority="13">
      <formula>COUNTIF(#REF!,"*済*")</formula>
    </cfRule>
    <cfRule type="expression" dxfId="154" priority="14">
      <formula>COUNTIF(#REF!,"*一部*")</formula>
    </cfRule>
    <cfRule type="expression" dxfId="153" priority="15">
      <formula>COUNTIF(#REF!,"*未*")</formula>
    </cfRule>
  </conditionalFormatting>
  <conditionalFormatting sqref="H12:J12">
    <cfRule type="expression" dxfId="152" priority="1">
      <formula>COUNTIF(#REF!,"*済*")</formula>
    </cfRule>
    <cfRule type="expression" dxfId="151" priority="2">
      <formula>COUNTIF(#REF!,"*一部*")</formula>
    </cfRule>
    <cfRule type="expression" dxfId="150" priority="3">
      <formula>COUNTIF(#REF!,"*未*")</formula>
    </cfRule>
  </conditionalFormatting>
  <conditionalFormatting sqref="J11:K11 K17:L17 J17:J19">
    <cfRule type="expression" dxfId="149" priority="34">
      <formula>COUNTIF(#REF!,"*済*")</formula>
    </cfRule>
    <cfRule type="expression" dxfId="148" priority="35">
      <formula>COUNTIF(#REF!,"*一部*")</formula>
    </cfRule>
    <cfRule type="expression" dxfId="147" priority="36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C53B-D027-4A8D-AB70-67FA268F9752}">
  <sheetPr>
    <pageSetUpPr fitToPage="1"/>
  </sheetPr>
  <dimension ref="A1:Q28"/>
  <sheetViews>
    <sheetView topLeftCell="B1" zoomScale="90" zoomScaleNormal="90" workbookViewId="0">
      <pane ySplit="3" topLeftCell="A22" activePane="bottomLeft" state="frozen"/>
      <selection activeCell="D1" sqref="D1"/>
      <selection pane="bottomLeft" activeCell="I41" sqref="I41"/>
    </sheetView>
  </sheetViews>
  <sheetFormatPr defaultRowHeight="13.2"/>
  <cols>
    <col min="1" max="1" width="10.6640625" customWidth="1"/>
    <col min="2" max="2" width="11.33203125" style="42" customWidth="1"/>
    <col min="3" max="3" width="10.6640625" style="502" customWidth="1"/>
    <col min="4" max="4" width="12.6640625" style="502" customWidth="1"/>
    <col min="5" max="5" width="10.6640625" style="502" customWidth="1"/>
    <col min="6" max="6" width="12.6640625" style="502" customWidth="1"/>
    <col min="7" max="7" width="10.6640625" style="502" customWidth="1"/>
    <col min="8" max="8" width="11.77734375" style="502" customWidth="1"/>
    <col min="9" max="9" width="13.6640625" style="570" customWidth="1"/>
    <col min="10" max="10" width="45.10937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216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79" t="s">
        <v>5</v>
      </c>
      <c r="H2" s="981" t="s">
        <v>160</v>
      </c>
      <c r="I2" s="983" t="s">
        <v>161</v>
      </c>
      <c r="J2" s="964" t="s">
        <v>7</v>
      </c>
      <c r="K2" s="966" t="s">
        <v>162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80"/>
      <c r="H3" s="982"/>
      <c r="I3" s="955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45856</v>
      </c>
      <c r="B4" s="511" t="s">
        <v>13</v>
      </c>
      <c r="C4" s="475">
        <v>58340</v>
      </c>
      <c r="D4" s="475">
        <v>495890</v>
      </c>
      <c r="E4" s="475">
        <v>133268</v>
      </c>
      <c r="F4" s="512">
        <v>263081</v>
      </c>
      <c r="G4" s="512">
        <v>10000</v>
      </c>
      <c r="H4" s="512">
        <f>SUM(G4,F4,D4)</f>
        <v>768971</v>
      </c>
      <c r="I4" s="513">
        <f>H4*1.1</f>
        <v>845868.10000000009</v>
      </c>
      <c r="J4" s="514"/>
      <c r="K4" s="515">
        <v>28303</v>
      </c>
      <c r="L4" s="515">
        <v>6145</v>
      </c>
      <c r="M4" s="516">
        <v>259440</v>
      </c>
      <c r="N4" s="505">
        <f t="shared" ref="N4:N5" si="0">M4/I4</f>
        <v>0.30671448657302475</v>
      </c>
    </row>
    <row r="5" spans="1:17" ht="25.05" customHeight="1">
      <c r="A5" s="518">
        <v>45863</v>
      </c>
      <c r="B5" s="9" t="s">
        <v>14</v>
      </c>
      <c r="C5" s="640">
        <v>69624</v>
      </c>
      <c r="D5" s="640">
        <f>C5*8.5</f>
        <v>591804</v>
      </c>
      <c r="E5" s="640">
        <v>240628</v>
      </c>
      <c r="F5" s="641">
        <v>491373</v>
      </c>
      <c r="G5" s="230">
        <v>5000</v>
      </c>
      <c r="H5" s="520">
        <f>SUM(G5,F5,D5)</f>
        <v>1088177</v>
      </c>
      <c r="I5" s="521">
        <f>H5*1.1</f>
        <v>1196994.7000000002</v>
      </c>
      <c r="J5" s="522"/>
      <c r="K5" s="642">
        <v>40646</v>
      </c>
      <c r="L5" s="642">
        <v>10375</v>
      </c>
      <c r="M5" s="643">
        <v>393520</v>
      </c>
      <c r="N5" s="505">
        <f t="shared" si="0"/>
        <v>0.32875667703457662</v>
      </c>
    </row>
    <row r="6" spans="1:17" ht="25.05" customHeight="1">
      <c r="A6" s="15"/>
      <c r="B6" s="21"/>
      <c r="C6" s="525"/>
      <c r="D6" s="525"/>
      <c r="E6" s="525"/>
      <c r="F6" s="526"/>
      <c r="G6" s="526"/>
      <c r="H6" s="526"/>
      <c r="I6" s="527"/>
      <c r="J6" s="528"/>
      <c r="K6" s="529"/>
      <c r="L6" s="529"/>
      <c r="M6" s="530"/>
    </row>
    <row r="7" spans="1:17" ht="25.05" customHeight="1">
      <c r="A7" s="925" t="s">
        <v>163</v>
      </c>
      <c r="B7" s="926"/>
      <c r="C7" s="531"/>
      <c r="D7" s="531"/>
      <c r="E7" s="18">
        <v>20000</v>
      </c>
      <c r="F7" s="19">
        <f>E7*4</f>
        <v>80000</v>
      </c>
      <c r="G7" s="19"/>
      <c r="H7" s="19">
        <f>SUM(G7,F7)</f>
        <v>80000</v>
      </c>
      <c r="I7" s="644">
        <f>H7*1.1</f>
        <v>88000</v>
      </c>
      <c r="J7" s="25" t="s">
        <v>217</v>
      </c>
      <c r="K7" s="533"/>
      <c r="L7" s="533"/>
      <c r="M7" s="534">
        <v>61600</v>
      </c>
      <c r="N7" s="505">
        <f t="shared" ref="N7:N8" si="1">M7/I7</f>
        <v>0.7</v>
      </c>
    </row>
    <row r="8" spans="1:17" ht="25.05" customHeight="1">
      <c r="A8" s="925" t="s">
        <v>16</v>
      </c>
      <c r="B8" s="926"/>
      <c r="C8" s="531"/>
      <c r="D8" s="531"/>
      <c r="E8" s="18">
        <v>10000</v>
      </c>
      <c r="F8" s="19">
        <f t="shared" ref="F8" si="2">E8*4</f>
        <v>40000</v>
      </c>
      <c r="G8" s="19"/>
      <c r="H8" s="19">
        <f t="shared" ref="H8" si="3">SUM(G8,F8,D8)</f>
        <v>40000</v>
      </c>
      <c r="I8" s="532">
        <f t="shared" ref="I8" si="4">H8*1.1</f>
        <v>44000</v>
      </c>
      <c r="J8" s="25"/>
      <c r="K8" s="533"/>
      <c r="L8" s="533"/>
      <c r="M8" s="534">
        <v>19600</v>
      </c>
      <c r="N8" s="505">
        <f t="shared" si="1"/>
        <v>0.44545454545454544</v>
      </c>
    </row>
    <row r="9" spans="1:17" ht="25.05" customHeight="1">
      <c r="A9" s="995" t="s">
        <v>218</v>
      </c>
      <c r="B9" s="996"/>
      <c r="C9" s="313">
        <v>5437</v>
      </c>
      <c r="D9" s="313">
        <f>C9*25</f>
        <v>135925</v>
      </c>
      <c r="E9" s="999">
        <v>30000</v>
      </c>
      <c r="F9" s="999">
        <f>E9*5</f>
        <v>150000</v>
      </c>
      <c r="G9" s="999">
        <v>10000</v>
      </c>
      <c r="H9" s="1001">
        <f>SUM(D9,D10,F9,G9)</f>
        <v>609225</v>
      </c>
      <c r="I9" s="1003">
        <f>H9*1.1</f>
        <v>670147.5</v>
      </c>
      <c r="J9" s="1005"/>
      <c r="K9" s="1007">
        <v>3080</v>
      </c>
      <c r="L9" s="1007">
        <v>2870</v>
      </c>
      <c r="M9" s="975">
        <v>81628</v>
      </c>
    </row>
    <row r="10" spans="1:17" ht="25.05" customHeight="1">
      <c r="A10" s="997"/>
      <c r="B10" s="998"/>
      <c r="C10" s="10">
        <v>6266</v>
      </c>
      <c r="D10" s="10">
        <f>C10*50</f>
        <v>313300</v>
      </c>
      <c r="E10" s="1000"/>
      <c r="F10" s="1000"/>
      <c r="G10" s="1000"/>
      <c r="H10" s="1002"/>
      <c r="I10" s="1004"/>
      <c r="J10" s="1006"/>
      <c r="K10" s="1008"/>
      <c r="L10" s="1008"/>
      <c r="M10" s="976"/>
    </row>
    <row r="11" spans="1:17" ht="25.05" customHeight="1">
      <c r="A11" s="925"/>
      <c r="B11" s="926"/>
      <c r="C11" s="18"/>
      <c r="D11" s="18"/>
      <c r="E11" s="18"/>
      <c r="F11" s="19"/>
      <c r="G11" s="19"/>
      <c r="H11" s="19"/>
      <c r="I11" s="532"/>
      <c r="J11" s="25"/>
      <c r="K11" s="533"/>
      <c r="L11" s="533"/>
      <c r="M11" s="534"/>
    </row>
    <row r="12" spans="1:17" ht="25.05" customHeight="1">
      <c r="A12" s="925" t="s">
        <v>219</v>
      </c>
      <c r="B12" s="926"/>
      <c r="C12" s="531"/>
      <c r="D12" s="531"/>
      <c r="E12" s="645">
        <v>81530</v>
      </c>
      <c r="F12" s="537">
        <v>284148</v>
      </c>
      <c r="G12" s="538"/>
      <c r="H12" s="538">
        <f>SUM(G12,F12)</f>
        <v>284148</v>
      </c>
      <c r="I12" s="539">
        <f>H12*1.1</f>
        <v>312562.80000000005</v>
      </c>
      <c r="J12" s="540"/>
      <c r="K12" s="541">
        <v>3170</v>
      </c>
      <c r="L12" s="541">
        <v>2232</v>
      </c>
      <c r="M12" s="542">
        <v>80375</v>
      </c>
      <c r="N12" s="505">
        <f>M12/I12</f>
        <v>0.25714832347291483</v>
      </c>
    </row>
    <row r="13" spans="1:17" ht="25.05" customHeight="1">
      <c r="A13" s="925" t="s">
        <v>220</v>
      </c>
      <c r="B13" s="926"/>
      <c r="C13" s="531"/>
      <c r="D13" s="531"/>
      <c r="E13" s="646">
        <v>42830</v>
      </c>
      <c r="F13" s="544">
        <v>97205</v>
      </c>
      <c r="G13" s="171"/>
      <c r="H13" s="538">
        <f>SUM(G13,F13)</f>
        <v>97205</v>
      </c>
      <c r="I13" s="539">
        <f>H13*1.1</f>
        <v>106925.50000000001</v>
      </c>
      <c r="J13" s="540"/>
      <c r="K13" s="542">
        <v>2840</v>
      </c>
      <c r="L13" s="542">
        <v>656</v>
      </c>
      <c r="M13" s="542">
        <v>5364</v>
      </c>
      <c r="N13" s="505">
        <f>M13/I13</f>
        <v>5.0165769624645189E-2</v>
      </c>
    </row>
    <row r="14" spans="1:17" ht="25.05" customHeight="1">
      <c r="A14" s="925" t="s">
        <v>221</v>
      </c>
      <c r="B14" s="926"/>
      <c r="C14" s="531"/>
      <c r="D14" s="531"/>
      <c r="E14" s="646">
        <v>60510</v>
      </c>
      <c r="F14" s="544">
        <v>205419</v>
      </c>
      <c r="G14" s="171"/>
      <c r="H14" s="538">
        <f>SUM(G14,F14)</f>
        <v>205419</v>
      </c>
      <c r="I14" s="539">
        <f>H14*1.1</f>
        <v>225960.90000000002</v>
      </c>
      <c r="J14" s="540"/>
      <c r="K14" s="647">
        <v>2870</v>
      </c>
      <c r="L14" s="647">
        <v>984</v>
      </c>
      <c r="M14" s="647">
        <v>319</v>
      </c>
      <c r="N14" s="505">
        <f>M14/I14</f>
        <v>1.411748669791986E-3</v>
      </c>
    </row>
    <row r="15" spans="1:17" ht="25.05" customHeight="1">
      <c r="A15" s="925" t="s">
        <v>222</v>
      </c>
      <c r="B15" s="926"/>
      <c r="C15" s="531"/>
      <c r="D15" s="535"/>
      <c r="E15" s="543">
        <v>60840</v>
      </c>
      <c r="F15" s="544">
        <v>234234</v>
      </c>
      <c r="G15" s="171"/>
      <c r="H15" s="538">
        <f>SUM(G15,F15)</f>
        <v>234234</v>
      </c>
      <c r="I15" s="539">
        <f>H15*1.1</f>
        <v>257657.40000000002</v>
      </c>
      <c r="J15" s="545"/>
      <c r="K15" s="542">
        <v>5020</v>
      </c>
      <c r="L15" s="542">
        <v>4066</v>
      </c>
      <c r="M15" s="542">
        <v>53305</v>
      </c>
      <c r="N15" s="505">
        <f>M15/I15</f>
        <v>0.20688324884129078</v>
      </c>
    </row>
    <row r="16" spans="1:17" ht="25.05" customHeight="1">
      <c r="A16" s="925"/>
      <c r="B16" s="926"/>
      <c r="C16" s="18"/>
      <c r="D16" s="18"/>
      <c r="E16" s="18"/>
      <c r="F16" s="19"/>
      <c r="G16" s="19"/>
      <c r="H16" s="19"/>
      <c r="I16" s="532"/>
      <c r="J16" s="25"/>
      <c r="K16" s="533"/>
      <c r="L16" s="533"/>
      <c r="M16" s="534"/>
      <c r="N16" s="648"/>
      <c r="O16" s="1"/>
      <c r="P16" s="1"/>
      <c r="Q16" s="1"/>
    </row>
    <row r="17" spans="1:15" s="502" customFormat="1" ht="25.05" customHeight="1">
      <c r="A17" s="988" t="s">
        <v>17</v>
      </c>
      <c r="B17" s="936" t="s">
        <v>223</v>
      </c>
      <c r="C17" s="140">
        <v>8450</v>
      </c>
      <c r="D17" s="123">
        <f>C17*12</f>
        <v>101400</v>
      </c>
      <c r="E17" s="597">
        <v>3950</v>
      </c>
      <c r="F17" s="598">
        <f>E17*2</f>
        <v>7900</v>
      </c>
      <c r="G17" s="140"/>
      <c r="H17" s="599">
        <f>SUM(G17,F17,D17)</f>
        <v>109300</v>
      </c>
      <c r="I17" s="548">
        <f>H17*1.1</f>
        <v>120230.00000000001</v>
      </c>
      <c r="J17" s="549" t="s">
        <v>178</v>
      </c>
      <c r="K17" s="973">
        <v>1590</v>
      </c>
      <c r="L17" s="973">
        <v>0</v>
      </c>
      <c r="M17" s="975">
        <v>289675</v>
      </c>
      <c r="N17" s="972">
        <v>0.35199999999999998</v>
      </c>
    </row>
    <row r="18" spans="1:15" s="502" customFormat="1" ht="25.05" customHeight="1">
      <c r="A18" s="989"/>
      <c r="B18" s="937"/>
      <c r="C18" s="142">
        <v>8050</v>
      </c>
      <c r="D18" s="131">
        <f t="shared" ref="D18:D19" si="5">C18*10</f>
        <v>80500</v>
      </c>
      <c r="E18" s="600">
        <v>26700</v>
      </c>
      <c r="F18" s="601">
        <f>E18*1.5</f>
        <v>40050</v>
      </c>
      <c r="G18" s="142"/>
      <c r="H18" s="551">
        <f t="shared" ref="H18:H20" si="6">SUM(G18,F18,D18)</f>
        <v>120550</v>
      </c>
      <c r="I18" s="552">
        <f t="shared" ref="I18:I19" si="7">H18*1.1</f>
        <v>132605</v>
      </c>
      <c r="J18" s="553" t="s">
        <v>179</v>
      </c>
      <c r="K18" s="1009"/>
      <c r="L18" s="1009"/>
      <c r="M18" s="984"/>
      <c r="N18" s="972"/>
    </row>
    <row r="19" spans="1:15" s="502" customFormat="1" ht="25.05" customHeight="1">
      <c r="A19" s="989"/>
      <c r="B19" s="937"/>
      <c r="C19" s="10">
        <v>18600</v>
      </c>
      <c r="D19" s="520">
        <f t="shared" si="5"/>
        <v>186000</v>
      </c>
      <c r="E19" s="602">
        <v>34300</v>
      </c>
      <c r="F19" s="603">
        <f>E19*1.5</f>
        <v>51450</v>
      </c>
      <c r="G19" s="10"/>
      <c r="H19" s="604">
        <f t="shared" si="6"/>
        <v>237450</v>
      </c>
      <c r="I19" s="558">
        <f t="shared" si="7"/>
        <v>261195.00000000003</v>
      </c>
      <c r="J19" s="559" t="s">
        <v>180</v>
      </c>
      <c r="K19" s="974"/>
      <c r="L19" s="974"/>
      <c r="M19" s="976"/>
      <c r="N19" s="972"/>
    </row>
    <row r="20" spans="1:15" s="502" customFormat="1" ht="25.05" customHeight="1">
      <c r="A20" s="990"/>
      <c r="B20" s="991"/>
      <c r="C20" s="139">
        <f>SUM(C17:C19)</f>
        <v>35100</v>
      </c>
      <c r="D20" s="118">
        <f>SUM(D17:D19)</f>
        <v>367900</v>
      </c>
      <c r="E20" s="118">
        <f t="shared" ref="E20:F20" si="8">SUM(E17:E19)</f>
        <v>64950</v>
      </c>
      <c r="F20" s="118">
        <f t="shared" si="8"/>
        <v>99400</v>
      </c>
      <c r="G20" s="118"/>
      <c r="H20" s="174">
        <f t="shared" si="6"/>
        <v>467300</v>
      </c>
      <c r="I20" s="606">
        <f>SUM(I17:I19)</f>
        <v>514030</v>
      </c>
      <c r="J20" s="559"/>
      <c r="K20" s="560"/>
      <c r="L20" s="560"/>
      <c r="M20" s="561"/>
      <c r="N20" s="562"/>
    </row>
    <row r="21" spans="1:15" s="502" customFormat="1" ht="25.05" customHeight="1">
      <c r="A21" s="927" t="s">
        <v>224</v>
      </c>
      <c r="B21" s="563" t="s">
        <v>182</v>
      </c>
      <c r="C21" s="564">
        <f>SUM(C7:C11,C4:C5)</f>
        <v>139667</v>
      </c>
      <c r="D21" s="564">
        <f>SUM(D7:D11,D4:D5)</f>
        <v>1536919</v>
      </c>
      <c r="E21" s="564">
        <f>SUM(E7:E11,E4:E5)</f>
        <v>433896</v>
      </c>
      <c r="F21" s="564">
        <f>SUM(F7:F11,F4:F5)</f>
        <v>1024454</v>
      </c>
      <c r="G21" s="565">
        <f>SUM(G7:G11,G4:G5)</f>
        <v>25000</v>
      </c>
      <c r="H21" s="565">
        <v>2586374</v>
      </c>
      <c r="I21" s="566">
        <v>2845011</v>
      </c>
      <c r="J21" s="567" t="s">
        <v>198</v>
      </c>
      <c r="K21" s="568"/>
      <c r="L21" s="568"/>
      <c r="M21" s="569"/>
      <c r="N21" s="505"/>
      <c r="O21" s="570"/>
    </row>
    <row r="22" spans="1:15" s="502" customFormat="1" ht="25.05" customHeight="1">
      <c r="A22" s="928"/>
      <c r="B22" s="571"/>
      <c r="C22" s="572"/>
      <c r="D22" s="572"/>
      <c r="E22" s="572"/>
      <c r="F22" s="572"/>
      <c r="G22" s="572"/>
      <c r="H22" s="573"/>
      <c r="I22" s="574"/>
      <c r="J22" s="575"/>
      <c r="K22" s="576"/>
      <c r="L22" s="576"/>
      <c r="M22" s="577"/>
      <c r="N22" s="505"/>
      <c r="O22" s="570"/>
    </row>
    <row r="23" spans="1:15" s="502" customFormat="1" ht="25.05" customHeight="1">
      <c r="A23" s="928"/>
      <c r="B23" s="578" t="s">
        <v>5</v>
      </c>
      <c r="C23" s="579"/>
      <c r="D23" s="579"/>
      <c r="E23" s="579">
        <f>SUM(E12:E15)</f>
        <v>245710</v>
      </c>
      <c r="F23" s="579">
        <f t="shared" ref="F23:I23" si="9">SUM(F12:F15)</f>
        <v>821006</v>
      </c>
      <c r="G23" s="579">
        <f t="shared" si="9"/>
        <v>0</v>
      </c>
      <c r="H23" s="580">
        <f t="shared" si="9"/>
        <v>821006</v>
      </c>
      <c r="I23" s="610">
        <f t="shared" si="9"/>
        <v>903106.60000000009</v>
      </c>
      <c r="J23" s="582" t="s">
        <v>183</v>
      </c>
      <c r="K23" s="576"/>
      <c r="L23" s="576"/>
      <c r="M23" s="577"/>
      <c r="N23" s="505"/>
      <c r="O23" s="570"/>
    </row>
    <row r="24" spans="1:15" s="502" customFormat="1" ht="25.05" customHeight="1">
      <c r="A24" s="928"/>
      <c r="B24" s="578"/>
      <c r="C24" s="579">
        <f>SUM(C17:C19)</f>
        <v>35100</v>
      </c>
      <c r="D24" s="579">
        <f>SUM(D17:D19)</f>
        <v>367900</v>
      </c>
      <c r="E24" s="579">
        <f>SUM(E17:E19)</f>
        <v>64950</v>
      </c>
      <c r="F24" s="579">
        <f>SUM(F17:F19)</f>
        <v>99400</v>
      </c>
      <c r="G24" s="579"/>
      <c r="H24" s="580">
        <f>SUM(G24,F24,D24)</f>
        <v>467300</v>
      </c>
      <c r="I24" s="581">
        <f>SUM(I20)</f>
        <v>514030</v>
      </c>
      <c r="J24" s="582" t="s">
        <v>225</v>
      </c>
      <c r="K24" s="576"/>
      <c r="L24" s="576"/>
      <c r="M24" s="577"/>
      <c r="N24" s="505"/>
      <c r="O24" s="570"/>
    </row>
    <row r="25" spans="1:15" s="502" customFormat="1" ht="25.05" customHeight="1">
      <c r="A25" s="928"/>
      <c r="B25" s="578"/>
      <c r="C25" s="579"/>
      <c r="D25" s="579"/>
      <c r="E25" s="579"/>
      <c r="F25" s="579"/>
      <c r="G25" s="579"/>
      <c r="H25" s="580"/>
      <c r="I25" s="649"/>
      <c r="J25" s="582"/>
      <c r="K25" s="576"/>
      <c r="L25" s="576"/>
      <c r="M25" s="577"/>
      <c r="N25" s="505"/>
      <c r="O25" s="570"/>
    </row>
    <row r="26" spans="1:15" s="502" customFormat="1" ht="25.05" customHeight="1" thickBot="1">
      <c r="A26" s="928"/>
      <c r="B26" s="37"/>
      <c r="C26" s="38"/>
      <c r="D26" s="38"/>
      <c r="E26" s="38"/>
      <c r="F26" s="38"/>
      <c r="G26" s="38"/>
      <c r="H26" s="583"/>
      <c r="I26" s="584"/>
      <c r="J26" s="585"/>
      <c r="K26" s="586"/>
      <c r="L26" s="586"/>
      <c r="M26" s="587"/>
      <c r="N26" s="505"/>
      <c r="O26" s="570"/>
    </row>
    <row r="27" spans="1:15" s="502" customFormat="1" ht="28.05" customHeight="1" thickTop="1">
      <c r="A27" s="929"/>
      <c r="B27" s="39" t="s">
        <v>19</v>
      </c>
      <c r="C27" s="588">
        <f>SUM(C21:C26)</f>
        <v>174767</v>
      </c>
      <c r="D27" s="588">
        <f>SUM(D21:D26)</f>
        <v>1904819</v>
      </c>
      <c r="E27" s="588">
        <f>SUM(E21:E26)</f>
        <v>744556</v>
      </c>
      <c r="F27" s="588">
        <f>SUM(F21:F26)</f>
        <v>1944860</v>
      </c>
      <c r="G27" s="588">
        <f>SUM(G21)</f>
        <v>25000</v>
      </c>
      <c r="H27" s="589">
        <f>SUM(H21:H26)</f>
        <v>3874680</v>
      </c>
      <c r="I27" s="590">
        <f>SUM(I21:I26)</f>
        <v>4262147.5999999996</v>
      </c>
      <c r="J27" s="591"/>
      <c r="K27" s="592">
        <f>SUM(K4:K26)</f>
        <v>87519</v>
      </c>
      <c r="L27" s="592">
        <f t="shared" ref="L27:M27" si="10">SUM(L4:L26)</f>
        <v>27328</v>
      </c>
      <c r="M27" s="650">
        <f t="shared" si="10"/>
        <v>1244826</v>
      </c>
      <c r="N27" s="505">
        <f t="shared" ref="N27" si="11">M27/I27</f>
        <v>0.29206543668267143</v>
      </c>
      <c r="O27" s="570"/>
    </row>
    <row r="28" spans="1:15" s="502" customFormat="1" ht="33" customHeight="1">
      <c r="A28"/>
      <c r="B28" s="40" t="s">
        <v>20</v>
      </c>
      <c r="F28" s="594" t="s">
        <v>157</v>
      </c>
      <c r="I28" s="613"/>
      <c r="M28" s="504"/>
      <c r="N28" s="505"/>
    </row>
  </sheetData>
  <mergeCells count="37">
    <mergeCell ref="A21:A27"/>
    <mergeCell ref="A17:A20"/>
    <mergeCell ref="B17:B20"/>
    <mergeCell ref="K17:K19"/>
    <mergeCell ref="L17:L19"/>
    <mergeCell ref="M17:M19"/>
    <mergeCell ref="N17:N19"/>
    <mergeCell ref="A11:B11"/>
    <mergeCell ref="A12:B12"/>
    <mergeCell ref="A13:B13"/>
    <mergeCell ref="A14:B14"/>
    <mergeCell ref="A15:B15"/>
    <mergeCell ref="A16:B16"/>
    <mergeCell ref="M9:M10"/>
    <mergeCell ref="A7:B7"/>
    <mergeCell ref="A8:B8"/>
    <mergeCell ref="A9:B10"/>
    <mergeCell ref="E9:E10"/>
    <mergeCell ref="F9:F10"/>
    <mergeCell ref="G9:G10"/>
    <mergeCell ref="H9:H10"/>
    <mergeCell ref="I9:I10"/>
    <mergeCell ref="J9:J10"/>
    <mergeCell ref="K9:K10"/>
    <mergeCell ref="L9:L10"/>
    <mergeCell ref="M2:M3"/>
    <mergeCell ref="A1:F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</mergeCells>
  <phoneticPr fontId="3"/>
  <conditionalFormatting sqref="E13:F15">
    <cfRule type="expression" dxfId="146" priority="31">
      <formula>COUNTIF(#REF!,"*済*")</formula>
    </cfRule>
    <cfRule type="expression" dxfId="145" priority="32">
      <formula>COUNTIF(#REF!,"*一部*")</formula>
    </cfRule>
    <cfRule type="expression" dxfId="144" priority="33">
      <formula>COUNTIF(#REF!,"*未*")</formula>
    </cfRule>
  </conditionalFormatting>
  <conditionalFormatting sqref="E17:F19">
    <cfRule type="expression" dxfId="143" priority="11">
      <formula>COUNTIF(#REF!,"*一部*")</formula>
    </cfRule>
    <cfRule type="expression" dxfId="142" priority="12">
      <formula>COUNTIF(#REF!,"*未*")</formula>
    </cfRule>
    <cfRule type="expression" dxfId="141" priority="10">
      <formula>COUNTIF(#REF!,"*済*")</formula>
    </cfRule>
  </conditionalFormatting>
  <conditionalFormatting sqref="E12:I12">
    <cfRule type="expression" dxfId="140" priority="16">
      <formula>COUNTIF(#REF!,"*済*")</formula>
    </cfRule>
    <cfRule type="expression" dxfId="139" priority="17">
      <formula>COUNTIF(#REF!,"*一部*")</formula>
    </cfRule>
    <cfRule type="expression" dxfId="138" priority="18">
      <formula>COUNTIF(#REF!,"*未*")</formula>
    </cfRule>
  </conditionalFormatting>
  <conditionalFormatting sqref="E12:K12 H13:J15">
    <cfRule type="expression" dxfId="137" priority="19">
      <formula>COUNTIF(#REF!,"*済*")</formula>
    </cfRule>
    <cfRule type="expression" dxfId="136" priority="21">
      <formula>COUNTIF(#REF!,"*未*")</formula>
    </cfRule>
    <cfRule type="expression" dxfId="135" priority="20">
      <formula>COUNTIF(#REF!,"*一部*")</formula>
    </cfRule>
  </conditionalFormatting>
  <conditionalFormatting sqref="F13:F15">
    <cfRule type="expression" dxfId="134" priority="22">
      <formula>COUNTIF(#REF!,"*済*")</formula>
    </cfRule>
    <cfRule type="expression" dxfId="133" priority="23">
      <formula>COUNTIF(#REF!,"*一部*")</formula>
    </cfRule>
    <cfRule type="expression" dxfId="132" priority="24">
      <formula>COUNTIF(#REF!,"*未*")</formula>
    </cfRule>
    <cfRule type="expression" dxfId="131" priority="25">
      <formula>COUNTIF(#REF!,"*済*")</formula>
    </cfRule>
    <cfRule type="expression" dxfId="130" priority="26">
      <formula>COUNTIF(#REF!,"*一部*")</formula>
    </cfRule>
    <cfRule type="expression" dxfId="129" priority="27">
      <formula>COUNTIF(#REF!,"*未*")</formula>
    </cfRule>
    <cfRule type="expression" dxfId="128" priority="28">
      <formula>COUNTIF(#REF!,"*済*")</formula>
    </cfRule>
    <cfRule type="expression" dxfId="127" priority="29">
      <formula>COUNTIF(#REF!,"*一部*")</formula>
    </cfRule>
    <cfRule type="expression" dxfId="126" priority="30">
      <formula>COUNTIF(#REF!,"*未*")</formula>
    </cfRule>
  </conditionalFormatting>
  <conditionalFormatting sqref="F17:F19">
    <cfRule type="expression" dxfId="125" priority="4">
      <formula>COUNTIF(#REF!,"*済*")</formula>
    </cfRule>
    <cfRule type="expression" dxfId="124" priority="5">
      <formula>COUNTIF(#REF!,"*一部*")</formula>
    </cfRule>
    <cfRule type="expression" dxfId="123" priority="6">
      <formula>COUNTIF(#REF!,"*未*")</formula>
    </cfRule>
    <cfRule type="expression" dxfId="122" priority="7">
      <formula>COUNTIF(#REF!,"*済*")</formula>
    </cfRule>
    <cfRule type="expression" dxfId="121" priority="8">
      <formula>COUNTIF(#REF!,"*一部*")</formula>
    </cfRule>
    <cfRule type="expression" dxfId="120" priority="9">
      <formula>COUNTIF(#REF!,"*未*")</formula>
    </cfRule>
    <cfRule type="expression" dxfId="119" priority="1">
      <formula>COUNTIF(#REF!,"*済*")</formula>
    </cfRule>
    <cfRule type="expression" dxfId="118" priority="2">
      <formula>COUNTIF(#REF!,"*一部*")</formula>
    </cfRule>
    <cfRule type="expression" dxfId="117" priority="3">
      <formula>COUNTIF(#REF!,"*未*")</formula>
    </cfRule>
  </conditionalFormatting>
  <conditionalFormatting sqref="H13:J13 H14:I15">
    <cfRule type="expression" dxfId="116" priority="13">
      <formula>COUNTIF(#REF!,"*済*")</formula>
    </cfRule>
    <cfRule type="expression" dxfId="115" priority="15">
      <formula>COUNTIF(#REF!,"*未*")</formula>
    </cfRule>
    <cfRule type="expression" dxfId="114" priority="14">
      <formula>COUNTIF(#REF!,"*一部*")</formula>
    </cfRule>
  </conditionalFormatting>
  <conditionalFormatting sqref="J12:K12 J13:J15 J17:L17 J18:J20">
    <cfRule type="expression" dxfId="113" priority="34">
      <formula>COUNTIF(#REF!,"*済*")</formula>
    </cfRule>
    <cfRule type="expression" dxfId="112" priority="35">
      <formula>COUNTIF(#REF!,"*一部*")</formula>
    </cfRule>
    <cfRule type="expression" dxfId="111" priority="36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7DBE-12F2-459B-B022-7E123B6D35AF}">
  <sheetPr>
    <pageSetUpPr fitToPage="1"/>
  </sheetPr>
  <dimension ref="A1:Q30"/>
  <sheetViews>
    <sheetView zoomScale="86" zoomScaleNormal="86" workbookViewId="0">
      <pane ySplit="3" topLeftCell="A15" activePane="bottomLeft" state="frozen"/>
      <selection activeCell="D1" sqref="D1"/>
      <selection pane="bottomLeft" activeCell="G29" sqref="G29"/>
    </sheetView>
  </sheetViews>
  <sheetFormatPr defaultRowHeight="13.2"/>
  <cols>
    <col min="1" max="1" width="10.6640625" customWidth="1"/>
    <col min="2" max="2" width="12.6640625" style="42" customWidth="1"/>
    <col min="3" max="3" width="10.6640625" style="502" customWidth="1"/>
    <col min="4" max="6" width="12.6640625" style="502" customWidth="1"/>
    <col min="7" max="7" width="11.77734375" style="502" customWidth="1"/>
    <col min="8" max="8" width="13.33203125" style="502" customWidth="1"/>
    <col min="9" max="9" width="13.6640625" style="570" customWidth="1"/>
    <col min="10" max="10" width="45.2187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202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58" t="s">
        <v>5</v>
      </c>
      <c r="H2" s="960" t="s">
        <v>6</v>
      </c>
      <c r="I2" s="962" t="s">
        <v>6</v>
      </c>
      <c r="J2" s="964" t="s">
        <v>7</v>
      </c>
      <c r="K2" s="966" t="s">
        <v>8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59"/>
      <c r="H3" s="961"/>
      <c r="I3" s="963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45828</v>
      </c>
      <c r="B4" s="511" t="s">
        <v>13</v>
      </c>
      <c r="C4" s="10">
        <v>58340</v>
      </c>
      <c r="D4" s="10">
        <f>C4*8.5</f>
        <v>495890</v>
      </c>
      <c r="E4" s="10">
        <v>12435</v>
      </c>
      <c r="F4" s="520">
        <v>24870</v>
      </c>
      <c r="G4" s="614">
        <v>10000</v>
      </c>
      <c r="H4" s="614">
        <f>SUM(G4,F4,D4)</f>
        <v>530760</v>
      </c>
      <c r="I4" s="615">
        <f>H4*1.1</f>
        <v>583836</v>
      </c>
      <c r="J4" s="14"/>
      <c r="K4" s="616">
        <v>14110</v>
      </c>
      <c r="L4" s="616">
        <v>4070</v>
      </c>
      <c r="M4" s="561">
        <v>249533</v>
      </c>
      <c r="N4" s="505">
        <f t="shared" ref="N4:N11" si="0">M4/I4</f>
        <v>0.42740255825265999</v>
      </c>
      <c r="O4" s="1"/>
      <c r="P4" s="1"/>
      <c r="Q4" s="1"/>
    </row>
    <row r="5" spans="1:17" ht="25.05" customHeight="1">
      <c r="A5" s="518">
        <v>45835</v>
      </c>
      <c r="B5" s="9" t="s">
        <v>14</v>
      </c>
      <c r="C5" s="17">
        <v>68084</v>
      </c>
      <c r="D5" s="229">
        <v>580836</v>
      </c>
      <c r="E5" s="17">
        <v>442808</v>
      </c>
      <c r="F5" s="617">
        <v>909561</v>
      </c>
      <c r="G5" s="17">
        <v>7000</v>
      </c>
      <c r="H5" s="18">
        <f>SUM(G5,F5,D5)</f>
        <v>1497397</v>
      </c>
      <c r="I5" s="618">
        <f>H5*1.1</f>
        <v>1647136.7000000002</v>
      </c>
      <c r="J5" s="619" t="s">
        <v>203</v>
      </c>
      <c r="K5" s="523">
        <v>12970</v>
      </c>
      <c r="L5" s="523">
        <v>4848</v>
      </c>
      <c r="M5" s="524">
        <v>364216</v>
      </c>
      <c r="N5" s="505">
        <f t="shared" si="0"/>
        <v>0.22112068779719374</v>
      </c>
    </row>
    <row r="6" spans="1:17" ht="22.05" customHeight="1">
      <c r="A6" s="15"/>
      <c r="B6" s="21"/>
      <c r="C6" s="82"/>
      <c r="D6" s="82"/>
      <c r="E6" s="82"/>
      <c r="F6" s="620"/>
      <c r="G6" s="82"/>
      <c r="H6" s="82"/>
      <c r="I6" s="621"/>
      <c r="J6" s="528"/>
      <c r="K6" s="529"/>
      <c r="L6" s="529"/>
      <c r="M6" s="530"/>
    </row>
    <row r="7" spans="1:17" ht="22.05" customHeight="1">
      <c r="A7" s="925" t="s">
        <v>163</v>
      </c>
      <c r="B7" s="926"/>
      <c r="C7" s="622"/>
      <c r="D7" s="622"/>
      <c r="E7" s="22">
        <v>40000</v>
      </c>
      <c r="F7" s="23">
        <f>E7*4</f>
        <v>160000</v>
      </c>
      <c r="G7" s="22"/>
      <c r="H7" s="22">
        <f>SUM(G7,F7)</f>
        <v>160000</v>
      </c>
      <c r="I7" s="623">
        <f>H7*1.1</f>
        <v>176000</v>
      </c>
      <c r="J7" s="25" t="s">
        <v>204</v>
      </c>
      <c r="K7" s="533">
        <v>2100</v>
      </c>
      <c r="L7" s="533">
        <v>330</v>
      </c>
      <c r="M7" s="534">
        <v>82600</v>
      </c>
      <c r="N7" s="505">
        <f t="shared" si="0"/>
        <v>0.4693181818181818</v>
      </c>
    </row>
    <row r="8" spans="1:17" ht="22.05" customHeight="1">
      <c r="A8" s="925" t="s">
        <v>163</v>
      </c>
      <c r="B8" s="926"/>
      <c r="C8" s="531"/>
      <c r="D8" s="531"/>
      <c r="E8" s="18">
        <v>20000</v>
      </c>
      <c r="F8" s="19">
        <f>E8*4</f>
        <v>80000</v>
      </c>
      <c r="G8" s="19"/>
      <c r="H8" s="19">
        <f>SUM(G8,F8)</f>
        <v>80000</v>
      </c>
      <c r="I8" s="623">
        <f>H8*1.1</f>
        <v>88000</v>
      </c>
      <c r="J8" s="25" t="s">
        <v>205</v>
      </c>
      <c r="K8" s="533"/>
      <c r="L8" s="533"/>
      <c r="M8" s="534">
        <v>61600</v>
      </c>
      <c r="N8" s="505">
        <f t="shared" si="0"/>
        <v>0.7</v>
      </c>
    </row>
    <row r="9" spans="1:17" ht="22.05" customHeight="1">
      <c r="A9" s="925" t="s">
        <v>163</v>
      </c>
      <c r="B9" s="926"/>
      <c r="C9" s="622"/>
      <c r="D9" s="622"/>
      <c r="E9" s="22">
        <v>40000</v>
      </c>
      <c r="F9" s="23">
        <f>E9*4</f>
        <v>160000</v>
      </c>
      <c r="G9" s="22"/>
      <c r="H9" s="22">
        <f>SUM(G9,F9)</f>
        <v>160000</v>
      </c>
      <c r="I9" s="623">
        <f>H9*1.1</f>
        <v>176000</v>
      </c>
      <c r="J9" s="25" t="s">
        <v>206</v>
      </c>
      <c r="K9" s="533"/>
      <c r="L9" s="533"/>
      <c r="M9" s="534">
        <v>132000</v>
      </c>
      <c r="N9" s="505">
        <f t="shared" si="0"/>
        <v>0.75</v>
      </c>
    </row>
    <row r="10" spans="1:17" ht="22.05" customHeight="1">
      <c r="A10" s="925"/>
      <c r="B10" s="926"/>
      <c r="C10" s="22"/>
      <c r="D10" s="22"/>
      <c r="E10" s="22"/>
      <c r="F10" s="23"/>
      <c r="G10" s="22"/>
      <c r="H10" s="22"/>
      <c r="I10" s="623"/>
      <c r="J10" s="25"/>
      <c r="K10" s="533"/>
      <c r="L10" s="533"/>
      <c r="M10" s="534"/>
      <c r="N10" s="505" t="e">
        <f>M10/I10</f>
        <v>#DIV/0!</v>
      </c>
    </row>
    <row r="11" spans="1:17" ht="22.05" customHeight="1">
      <c r="A11" s="925" t="s">
        <v>16</v>
      </c>
      <c r="B11" s="926"/>
      <c r="C11" s="622"/>
      <c r="D11" s="622"/>
      <c r="E11" s="22">
        <v>10000</v>
      </c>
      <c r="F11" s="23">
        <v>40000</v>
      </c>
      <c r="G11" s="22"/>
      <c r="H11" s="22"/>
      <c r="I11" s="623">
        <v>44000</v>
      </c>
      <c r="J11" s="25"/>
      <c r="K11" s="533"/>
      <c r="L11" s="533"/>
      <c r="M11" s="534">
        <v>16520</v>
      </c>
      <c r="N11" s="505">
        <f t="shared" si="0"/>
        <v>0.37545454545454543</v>
      </c>
    </row>
    <row r="12" spans="1:17" ht="22.05" customHeight="1">
      <c r="A12" s="1010" t="s">
        <v>207</v>
      </c>
      <c r="B12" s="1011"/>
      <c r="C12" s="622"/>
      <c r="D12" s="622"/>
      <c r="E12" s="22">
        <v>30000</v>
      </c>
      <c r="F12" s="23">
        <f>E12*4</f>
        <v>120000</v>
      </c>
      <c r="G12" s="22">
        <v>5000</v>
      </c>
      <c r="H12" s="22">
        <f>SUM(G12,F12)</f>
        <v>125000</v>
      </c>
      <c r="I12" s="623">
        <f>H12*1.1</f>
        <v>137500</v>
      </c>
      <c r="J12" s="25" t="s">
        <v>208</v>
      </c>
      <c r="K12" s="533"/>
      <c r="L12" s="533"/>
      <c r="M12" s="534">
        <v>14696</v>
      </c>
    </row>
    <row r="13" spans="1:17" ht="22.05" customHeight="1">
      <c r="A13" s="15"/>
      <c r="B13" s="26"/>
      <c r="C13" s="22"/>
      <c r="D13" s="22"/>
      <c r="E13" s="22"/>
      <c r="F13" s="23"/>
      <c r="G13" s="22"/>
      <c r="H13" s="22"/>
      <c r="I13" s="623"/>
      <c r="J13" s="25"/>
      <c r="K13" s="533"/>
      <c r="L13" s="533"/>
      <c r="M13" s="534"/>
    </row>
    <row r="14" spans="1:17" ht="22.05" customHeight="1">
      <c r="A14" s="925" t="s">
        <v>209</v>
      </c>
      <c r="B14" s="926"/>
      <c r="C14" s="622"/>
      <c r="D14" s="622"/>
      <c r="E14" s="624">
        <v>139000</v>
      </c>
      <c r="F14" s="625">
        <v>443159</v>
      </c>
      <c r="G14" s="625"/>
      <c r="H14" s="625">
        <v>443159</v>
      </c>
      <c r="I14" s="626">
        <f>H14*1.1</f>
        <v>487474.9</v>
      </c>
      <c r="J14" s="540"/>
      <c r="K14" s="541">
        <v>6360</v>
      </c>
      <c r="L14" s="541">
        <v>1442</v>
      </c>
      <c r="M14" s="542">
        <v>134118</v>
      </c>
      <c r="N14" s="505">
        <f>M14/I14</f>
        <v>0.27512801171916745</v>
      </c>
    </row>
    <row r="15" spans="1:17" ht="22.05" customHeight="1">
      <c r="A15" s="925" t="s">
        <v>210</v>
      </c>
      <c r="B15" s="926"/>
      <c r="C15" s="622"/>
      <c r="D15" s="622"/>
      <c r="E15" s="627">
        <v>57890</v>
      </c>
      <c r="F15" s="628">
        <v>184960</v>
      </c>
      <c r="G15" s="22"/>
      <c r="H15" s="625">
        <f>SUM(G15,F15)</f>
        <v>184960</v>
      </c>
      <c r="I15" s="626">
        <f t="shared" ref="I15:I16" si="1">F15*1.1</f>
        <v>203456.00000000003</v>
      </c>
      <c r="J15" s="540"/>
      <c r="K15" s="542">
        <v>4260</v>
      </c>
      <c r="L15" s="542">
        <v>1108</v>
      </c>
      <c r="M15" s="542">
        <v>48262</v>
      </c>
      <c r="N15" s="505">
        <f>M15/I15</f>
        <v>0.23721099402327772</v>
      </c>
    </row>
    <row r="16" spans="1:17" ht="22.05" customHeight="1">
      <c r="A16" s="925" t="s">
        <v>211</v>
      </c>
      <c r="B16" s="926"/>
      <c r="C16" s="622"/>
      <c r="D16" s="622"/>
      <c r="E16" s="627">
        <v>75480</v>
      </c>
      <c r="F16" s="628">
        <v>275400</v>
      </c>
      <c r="G16" s="22"/>
      <c r="H16" s="625">
        <f>SUM(G16,F16)</f>
        <v>275400</v>
      </c>
      <c r="I16" s="626">
        <f t="shared" si="1"/>
        <v>302940</v>
      </c>
      <c r="J16" s="540"/>
      <c r="K16" s="542">
        <v>2730</v>
      </c>
      <c r="L16" s="542">
        <v>607</v>
      </c>
      <c r="M16" s="542">
        <v>47673</v>
      </c>
      <c r="N16" s="505">
        <f>M16/I16</f>
        <v>0.15736779560308972</v>
      </c>
    </row>
    <row r="17" spans="1:15" s="502" customFormat="1" ht="22.05" customHeight="1">
      <c r="A17" s="15"/>
      <c r="B17" s="26"/>
      <c r="C17" s="22"/>
      <c r="D17" s="23"/>
      <c r="E17" s="625"/>
      <c r="F17" s="628"/>
      <c r="G17" s="22"/>
      <c r="H17" s="22"/>
      <c r="I17" s="623"/>
      <c r="J17" s="545"/>
      <c r="K17" s="542"/>
      <c r="L17" s="542"/>
      <c r="M17" s="542"/>
      <c r="N17" s="505"/>
    </row>
    <row r="18" spans="1:15" s="502" customFormat="1" ht="22.05" customHeight="1">
      <c r="A18" s="988" t="s">
        <v>17</v>
      </c>
      <c r="B18" s="936" t="s">
        <v>212</v>
      </c>
      <c r="C18" s="134">
        <v>7500</v>
      </c>
      <c r="D18" s="629">
        <f>C18*12</f>
        <v>90000</v>
      </c>
      <c r="E18" s="630">
        <v>21740</v>
      </c>
      <c r="F18" s="547">
        <v>43480</v>
      </c>
      <c r="G18" s="134"/>
      <c r="H18" s="134">
        <f>SUM(F18,D18)</f>
        <v>133480</v>
      </c>
      <c r="I18" s="631">
        <f>H18*1.1</f>
        <v>146828</v>
      </c>
      <c r="J18" s="549" t="s">
        <v>196</v>
      </c>
      <c r="K18" s="973">
        <v>3340</v>
      </c>
      <c r="L18" s="973">
        <v>0</v>
      </c>
      <c r="M18" s="975">
        <v>282925</v>
      </c>
      <c r="N18" s="972"/>
    </row>
    <row r="19" spans="1:15" s="502" customFormat="1" ht="22.05" customHeight="1">
      <c r="A19" s="989"/>
      <c r="B19" s="937"/>
      <c r="C19" s="29">
        <v>7450</v>
      </c>
      <c r="D19" s="29">
        <f t="shared" ref="D19:D20" si="2">C19*10</f>
        <v>74500</v>
      </c>
      <c r="E19" s="632">
        <v>56350</v>
      </c>
      <c r="F19" s="550">
        <v>110275</v>
      </c>
      <c r="G19" s="29"/>
      <c r="H19" s="29">
        <f t="shared" ref="H19:H20" si="3">SUM(F19,D19)</f>
        <v>184775</v>
      </c>
      <c r="I19" s="633">
        <f t="shared" ref="I19:I21" si="4">H19*1.1</f>
        <v>203252.50000000003</v>
      </c>
      <c r="J19" s="553" t="s">
        <v>179</v>
      </c>
      <c r="K19" s="1009"/>
      <c r="L19" s="1009"/>
      <c r="M19" s="984"/>
      <c r="N19" s="972"/>
    </row>
    <row r="20" spans="1:15" s="502" customFormat="1" ht="22.05" customHeight="1">
      <c r="A20" s="989"/>
      <c r="B20" s="937"/>
      <c r="C20" s="31">
        <v>17250</v>
      </c>
      <c r="D20" s="32">
        <f t="shared" si="2"/>
        <v>172500</v>
      </c>
      <c r="E20" s="634">
        <v>114150</v>
      </c>
      <c r="F20" s="635">
        <v>179725</v>
      </c>
      <c r="G20" s="31"/>
      <c r="H20" s="636">
        <f t="shared" si="3"/>
        <v>352225</v>
      </c>
      <c r="I20" s="637">
        <f t="shared" si="4"/>
        <v>387447.50000000006</v>
      </c>
      <c r="J20" s="559" t="s">
        <v>180</v>
      </c>
      <c r="K20" s="974"/>
      <c r="L20" s="974"/>
      <c r="M20" s="976"/>
      <c r="N20" s="972"/>
    </row>
    <row r="21" spans="1:15" s="502" customFormat="1" ht="22.05" customHeight="1">
      <c r="A21" s="989"/>
      <c r="B21" s="991"/>
      <c r="C21" s="636">
        <f>SUM(C18:C20)</f>
        <v>32200</v>
      </c>
      <c r="D21" s="629">
        <f>SUM(D18:D20)</f>
        <v>337000</v>
      </c>
      <c r="E21" s="139">
        <f>SUM(E18:E20)</f>
        <v>192240</v>
      </c>
      <c r="F21" s="139">
        <f>SUM(F18:F20)</f>
        <v>333480</v>
      </c>
      <c r="G21" s="636"/>
      <c r="H21" s="134">
        <f>SUM(H18:H20)</f>
        <v>670480</v>
      </c>
      <c r="I21" s="631">
        <f t="shared" si="4"/>
        <v>737528.00000000012</v>
      </c>
      <c r="J21" s="638"/>
      <c r="K21" s="554"/>
      <c r="L21" s="554"/>
      <c r="M21" s="555"/>
      <c r="N21" s="562"/>
    </row>
    <row r="22" spans="1:15" s="502" customFormat="1" ht="22.05" customHeight="1">
      <c r="A22" s="925"/>
      <c r="B22" s="926"/>
      <c r="C22" s="22"/>
      <c r="D22" s="22"/>
      <c r="E22" s="22"/>
      <c r="F22" s="22"/>
      <c r="G22" s="22"/>
      <c r="H22" s="22"/>
      <c r="I22" s="623"/>
      <c r="J22" s="25"/>
      <c r="K22" s="533"/>
      <c r="L22" s="533"/>
      <c r="M22" s="534"/>
      <c r="N22" s="505"/>
    </row>
    <row r="23" spans="1:15" s="502" customFormat="1" ht="25.05" customHeight="1">
      <c r="A23" s="927" t="s">
        <v>213</v>
      </c>
      <c r="B23" s="563" t="s">
        <v>182</v>
      </c>
      <c r="C23" s="564">
        <f t="shared" ref="C23:I23" si="5">SUM(C4:C13)</f>
        <v>126424</v>
      </c>
      <c r="D23" s="564">
        <f t="shared" si="5"/>
        <v>1076726</v>
      </c>
      <c r="E23" s="564">
        <f t="shared" si="5"/>
        <v>595243</v>
      </c>
      <c r="F23" s="564">
        <f t="shared" si="5"/>
        <v>1494431</v>
      </c>
      <c r="G23" s="564">
        <f t="shared" si="5"/>
        <v>22000</v>
      </c>
      <c r="H23" s="564">
        <f t="shared" si="5"/>
        <v>2553157</v>
      </c>
      <c r="I23" s="564">
        <f t="shared" si="5"/>
        <v>2852472.7</v>
      </c>
      <c r="J23" s="567" t="s">
        <v>198</v>
      </c>
      <c r="K23" s="568"/>
      <c r="L23" s="568"/>
      <c r="M23" s="569"/>
      <c r="N23" s="505"/>
      <c r="O23" s="570"/>
    </row>
    <row r="24" spans="1:15" s="502" customFormat="1" ht="25.05" customHeight="1">
      <c r="A24" s="928"/>
      <c r="B24" s="571"/>
      <c r="C24" s="572"/>
      <c r="D24" s="572"/>
      <c r="E24" s="572"/>
      <c r="F24" s="572"/>
      <c r="G24" s="572"/>
      <c r="H24" s="572"/>
      <c r="I24" s="572"/>
      <c r="J24" s="575"/>
      <c r="K24" s="576"/>
      <c r="L24" s="576"/>
      <c r="M24" s="577"/>
      <c r="N24" s="505"/>
      <c r="O24" s="570"/>
    </row>
    <row r="25" spans="1:15" s="502" customFormat="1" ht="25.05" customHeight="1">
      <c r="A25" s="928"/>
      <c r="B25" s="578" t="s">
        <v>5</v>
      </c>
      <c r="C25" s="579"/>
      <c r="D25" s="579"/>
      <c r="E25" s="579">
        <f>SUM(E14:E16)</f>
        <v>272370</v>
      </c>
      <c r="F25" s="579">
        <f t="shared" ref="F25:I25" si="6">SUM(F14:F16)</f>
        <v>903519</v>
      </c>
      <c r="G25" s="579">
        <f t="shared" si="6"/>
        <v>0</v>
      </c>
      <c r="H25" s="579">
        <f t="shared" si="6"/>
        <v>903519</v>
      </c>
      <c r="I25" s="579">
        <f t="shared" si="6"/>
        <v>993870.9</v>
      </c>
      <c r="J25" s="582" t="s">
        <v>199</v>
      </c>
      <c r="K25" s="576"/>
      <c r="L25" s="576"/>
      <c r="M25" s="577"/>
      <c r="N25" s="505"/>
      <c r="O25" s="570"/>
    </row>
    <row r="26" spans="1:15" s="502" customFormat="1" ht="25.05" customHeight="1">
      <c r="A26" s="928"/>
      <c r="B26" s="578"/>
      <c r="C26" s="579">
        <f t="shared" ref="C26:I26" si="7">SUM(C21)</f>
        <v>32200</v>
      </c>
      <c r="D26" s="579">
        <f t="shared" si="7"/>
        <v>337000</v>
      </c>
      <c r="E26" s="579">
        <f t="shared" si="7"/>
        <v>192240</v>
      </c>
      <c r="F26" s="579">
        <f t="shared" si="7"/>
        <v>333480</v>
      </c>
      <c r="G26" s="579">
        <f t="shared" si="7"/>
        <v>0</v>
      </c>
      <c r="H26" s="579">
        <f t="shared" si="7"/>
        <v>670480</v>
      </c>
      <c r="I26" s="579">
        <f t="shared" si="7"/>
        <v>737528.00000000012</v>
      </c>
      <c r="J26" s="582" t="s">
        <v>214</v>
      </c>
      <c r="K26" s="576"/>
      <c r="L26" s="576"/>
      <c r="M26" s="577"/>
      <c r="N26" s="505"/>
      <c r="O26" s="570"/>
    </row>
    <row r="27" spans="1:15" s="502" customFormat="1" ht="25.05" customHeight="1">
      <c r="A27" s="928"/>
      <c r="B27" s="578"/>
      <c r="C27" s="579"/>
      <c r="D27" s="579"/>
      <c r="E27" s="579"/>
      <c r="F27" s="579"/>
      <c r="G27" s="579"/>
      <c r="H27" s="579"/>
      <c r="I27" s="579"/>
      <c r="J27" s="582"/>
      <c r="K27" s="576"/>
      <c r="L27" s="576"/>
      <c r="M27" s="577"/>
      <c r="N27" s="505"/>
      <c r="O27" s="570"/>
    </row>
    <row r="28" spans="1:15" s="502" customFormat="1" ht="25.05" customHeight="1" thickBot="1">
      <c r="A28" s="928"/>
      <c r="B28" s="37"/>
      <c r="C28" s="38"/>
      <c r="D28" s="38"/>
      <c r="E28" s="38"/>
      <c r="F28" s="38"/>
      <c r="G28" s="38"/>
      <c r="H28" s="38"/>
      <c r="I28" s="38"/>
      <c r="J28" s="585"/>
      <c r="K28" s="586"/>
      <c r="L28" s="586"/>
      <c r="M28" s="587"/>
      <c r="N28" s="505"/>
      <c r="O28" s="570"/>
    </row>
    <row r="29" spans="1:15" s="502" customFormat="1" ht="28.05" customHeight="1" thickTop="1">
      <c r="A29" s="929"/>
      <c r="B29" s="39" t="s">
        <v>19</v>
      </c>
      <c r="C29" s="588">
        <f>SUM(C23:C28)</f>
        <v>158624</v>
      </c>
      <c r="D29" s="588">
        <f>SUM(D23:D28)</f>
        <v>1413726</v>
      </c>
      <c r="E29" s="588">
        <f t="shared" ref="E29:H29" si="8">SUM(E23:E28)</f>
        <v>1059853</v>
      </c>
      <c r="F29" s="588">
        <f t="shared" si="8"/>
        <v>2731430</v>
      </c>
      <c r="G29" s="588">
        <f t="shared" si="8"/>
        <v>22000</v>
      </c>
      <c r="H29" s="588">
        <f t="shared" si="8"/>
        <v>4127156</v>
      </c>
      <c r="I29" s="588">
        <f>SUM(I23:I28)</f>
        <v>4583871.6000000006</v>
      </c>
      <c r="J29" s="591" t="s">
        <v>201</v>
      </c>
      <c r="K29" s="592">
        <f>SUM(K4:K22)</f>
        <v>45870</v>
      </c>
      <c r="L29" s="592">
        <f>SUM(L4:L22)</f>
        <v>12405</v>
      </c>
      <c r="M29" s="593">
        <f>SUM(M4:M25)</f>
        <v>1434143</v>
      </c>
      <c r="N29" s="505">
        <f t="shared" ref="N29" si="9">M29/I29</f>
        <v>0.31286718415062059</v>
      </c>
      <c r="O29" s="570"/>
    </row>
    <row r="30" spans="1:15" s="502" customFormat="1" ht="33" customHeight="1">
      <c r="A30"/>
      <c r="B30" s="40" t="s">
        <v>20</v>
      </c>
      <c r="F30" s="594" t="s">
        <v>215</v>
      </c>
      <c r="G30" s="639">
        <v>840000</v>
      </c>
      <c r="I30" s="613"/>
      <c r="M30" s="504"/>
      <c r="N30" s="505"/>
    </row>
  </sheetData>
  <mergeCells count="29">
    <mergeCell ref="L18:L20"/>
    <mergeCell ref="M18:M20"/>
    <mergeCell ref="N18:N20"/>
    <mergeCell ref="A22:B22"/>
    <mergeCell ref="A23:A29"/>
    <mergeCell ref="K18:K20"/>
    <mergeCell ref="A14:B14"/>
    <mergeCell ref="A15:B15"/>
    <mergeCell ref="A16:B16"/>
    <mergeCell ref="A18:A21"/>
    <mergeCell ref="B18:B21"/>
    <mergeCell ref="A12:B12"/>
    <mergeCell ref="H2:H3"/>
    <mergeCell ref="I2:I3"/>
    <mergeCell ref="J2:J3"/>
    <mergeCell ref="K2:K3"/>
    <mergeCell ref="A7:B7"/>
    <mergeCell ref="A8:B8"/>
    <mergeCell ref="A9:B9"/>
    <mergeCell ref="A10:B10"/>
    <mergeCell ref="A11:B11"/>
    <mergeCell ref="L2:L3"/>
    <mergeCell ref="M2:M3"/>
    <mergeCell ref="A1:F1"/>
    <mergeCell ref="A2:A3"/>
    <mergeCell ref="B2:B3"/>
    <mergeCell ref="C2:D2"/>
    <mergeCell ref="E2:F2"/>
    <mergeCell ref="G2:G3"/>
  </mergeCells>
  <phoneticPr fontId="3"/>
  <conditionalFormatting sqref="E15:E16">
    <cfRule type="expression" dxfId="110" priority="40">
      <formula>COUNTIF(#REF!,"*済*")</formula>
    </cfRule>
    <cfRule type="expression" dxfId="109" priority="41">
      <formula>COUNTIF(#REF!,"*一部*")</formula>
    </cfRule>
    <cfRule type="expression" dxfId="108" priority="42">
      <formula>COUNTIF(#REF!,"*未*")</formula>
    </cfRule>
  </conditionalFormatting>
  <conditionalFormatting sqref="E15:F17">
    <cfRule type="expression" dxfId="107" priority="37">
      <formula>COUNTIF(#REF!,"*済*")</formula>
    </cfRule>
    <cfRule type="expression" dxfId="106" priority="38">
      <formula>COUNTIF(#REF!,"*一部*")</formula>
    </cfRule>
    <cfRule type="expression" dxfId="105" priority="39">
      <formula>COUNTIF(#REF!,"*未*")</formula>
    </cfRule>
  </conditionalFormatting>
  <conditionalFormatting sqref="E18:F20">
    <cfRule type="expression" dxfId="104" priority="11">
      <formula>COUNTIF(#REF!,"*一部*")</formula>
    </cfRule>
    <cfRule type="expression" dxfId="103" priority="10">
      <formula>COUNTIF(#REF!,"*済*")</formula>
    </cfRule>
    <cfRule type="expression" dxfId="102" priority="12">
      <formula>COUNTIF(#REF!,"*未*")</formula>
    </cfRule>
  </conditionalFormatting>
  <conditionalFormatting sqref="E14:H14 I14:I16">
    <cfRule type="expression" dxfId="101" priority="27">
      <formula>COUNTIF(#REF!,"*未*")</formula>
    </cfRule>
    <cfRule type="expression" dxfId="100" priority="26">
      <formula>COUNTIF(#REF!,"*一部*")</formula>
    </cfRule>
    <cfRule type="expression" dxfId="99" priority="25">
      <formula>COUNTIF(#REF!,"*済*")</formula>
    </cfRule>
  </conditionalFormatting>
  <conditionalFormatting sqref="E14:K14 H15:J16">
    <cfRule type="expression" dxfId="98" priority="28">
      <formula>COUNTIF(#REF!,"*済*")</formula>
    </cfRule>
    <cfRule type="expression" dxfId="97" priority="29">
      <formula>COUNTIF(#REF!,"*一部*")</formula>
    </cfRule>
    <cfRule type="expression" dxfId="96" priority="30">
      <formula>COUNTIF(#REF!,"*未*")</formula>
    </cfRule>
  </conditionalFormatting>
  <conditionalFormatting sqref="F15:F17">
    <cfRule type="expression" dxfId="95" priority="35">
      <formula>COUNTIF(#REF!,"*一部*")</formula>
    </cfRule>
    <cfRule type="expression" dxfId="94" priority="34">
      <formula>COUNTIF(#REF!,"*済*")</formula>
    </cfRule>
    <cfRule type="expression" dxfId="93" priority="33">
      <formula>COUNTIF(#REF!,"*未*")</formula>
    </cfRule>
    <cfRule type="expression" dxfId="92" priority="32">
      <formula>COUNTIF(#REF!,"*一部*")</formula>
    </cfRule>
    <cfRule type="expression" dxfId="91" priority="31">
      <formula>COUNTIF(#REF!,"*済*")</formula>
    </cfRule>
    <cfRule type="expression" dxfId="90" priority="36">
      <formula>COUNTIF(#REF!,"*未*")</formula>
    </cfRule>
  </conditionalFormatting>
  <conditionalFormatting sqref="F15:F20">
    <cfRule type="expression" dxfId="89" priority="7">
      <formula>COUNTIF(#REF!,"*済*")</formula>
    </cfRule>
    <cfRule type="expression" dxfId="88" priority="8">
      <formula>COUNTIF(#REF!,"*一部*")</formula>
    </cfRule>
    <cfRule type="expression" dxfId="87" priority="9">
      <formula>COUNTIF(#REF!,"*未*")</formula>
    </cfRule>
  </conditionalFormatting>
  <conditionalFormatting sqref="F18:F20">
    <cfRule type="expression" dxfId="86" priority="3">
      <formula>COUNTIF(#REF!,"*未*")</formula>
    </cfRule>
    <cfRule type="expression" dxfId="85" priority="4">
      <formula>COUNTIF(#REF!,"*済*")</formula>
    </cfRule>
    <cfRule type="expression" dxfId="84" priority="5">
      <formula>COUNTIF(#REF!,"*一部*")</formula>
    </cfRule>
    <cfRule type="expression" dxfId="83" priority="6">
      <formula>COUNTIF(#REF!,"*未*")</formula>
    </cfRule>
    <cfRule type="expression" dxfId="82" priority="1">
      <formula>COUNTIF(#REF!,"*済*")</formula>
    </cfRule>
    <cfRule type="expression" dxfId="81" priority="2">
      <formula>COUNTIF(#REF!,"*一部*")</formula>
    </cfRule>
  </conditionalFormatting>
  <conditionalFormatting sqref="H15:H16">
    <cfRule type="expression" dxfId="80" priority="24">
      <formula>COUNTIF(#REF!,"*未*")</formula>
    </cfRule>
    <cfRule type="expression" dxfId="79" priority="22">
      <formula>COUNTIF(#REF!,"*済*")</formula>
    </cfRule>
    <cfRule type="expression" dxfId="78" priority="23">
      <formula>COUNTIF(#REF!,"*一部*")</formula>
    </cfRule>
  </conditionalFormatting>
  <conditionalFormatting sqref="H16">
    <cfRule type="expression" dxfId="77" priority="16">
      <formula>COUNTIF(#REF!,"*済*")</formula>
    </cfRule>
    <cfRule type="expression" dxfId="76" priority="15">
      <formula>COUNTIF(#REF!,"*未*")</formula>
    </cfRule>
    <cfRule type="expression" dxfId="75" priority="14">
      <formula>COUNTIF(#REF!,"*一部*")</formula>
    </cfRule>
    <cfRule type="expression" dxfId="74" priority="13">
      <formula>COUNTIF(#REF!,"*済*")</formula>
    </cfRule>
    <cfRule type="expression" dxfId="73" priority="21">
      <formula>COUNTIF(#REF!,"*未*")</formula>
    </cfRule>
    <cfRule type="expression" dxfId="72" priority="20">
      <formula>COUNTIF(#REF!,"*一部*")</formula>
    </cfRule>
    <cfRule type="expression" dxfId="71" priority="18">
      <formula>COUNTIF(#REF!,"*未*")</formula>
    </cfRule>
    <cfRule type="expression" dxfId="70" priority="19">
      <formula>COUNTIF(#REF!,"*済*")</formula>
    </cfRule>
    <cfRule type="expression" dxfId="69" priority="17">
      <formula>COUNTIF(#REF!,"*一部*")</formula>
    </cfRule>
  </conditionalFormatting>
  <conditionalFormatting sqref="J14:K14 J15:J17 J18:L18 J19:J21">
    <cfRule type="expression" dxfId="68" priority="43">
      <formula>COUNTIF(#REF!,"*済*")</formula>
    </cfRule>
    <cfRule type="expression" dxfId="67" priority="44">
      <formula>COUNTIF(#REF!,"*一部*")</formula>
    </cfRule>
    <cfRule type="expression" dxfId="66" priority="45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1906-5A2D-4B6C-A0DD-5A3D3A76FAB9}">
  <sheetPr>
    <pageSetUpPr fitToPage="1"/>
  </sheetPr>
  <dimension ref="A1:Q29"/>
  <sheetViews>
    <sheetView topLeftCell="E1" zoomScale="90" zoomScaleNormal="90" workbookViewId="0">
      <pane ySplit="3" topLeftCell="A15" activePane="bottomLeft" state="frozen"/>
      <selection pane="bottomLeft" activeCell="H38" sqref="H38"/>
    </sheetView>
  </sheetViews>
  <sheetFormatPr defaultRowHeight="13.2"/>
  <cols>
    <col min="1" max="1" width="10.6640625" customWidth="1"/>
    <col min="2" max="2" width="10.88671875" style="42" customWidth="1"/>
    <col min="3" max="3" width="10.6640625" style="502" customWidth="1"/>
    <col min="4" max="6" width="12.6640625" style="502" customWidth="1"/>
    <col min="7" max="8" width="11.77734375" style="502" customWidth="1"/>
    <col min="9" max="9" width="13.6640625" style="570" customWidth="1"/>
    <col min="10" max="10" width="46.3320312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186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79" t="s">
        <v>5</v>
      </c>
      <c r="H2" s="981" t="s">
        <v>160</v>
      </c>
      <c r="I2" s="983" t="s">
        <v>161</v>
      </c>
      <c r="J2" s="964" t="s">
        <v>7</v>
      </c>
      <c r="K2" s="966" t="s">
        <v>162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80"/>
      <c r="H3" s="982"/>
      <c r="I3" s="955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45793</v>
      </c>
      <c r="B4" s="511" t="s">
        <v>13</v>
      </c>
      <c r="C4" s="475">
        <v>58340</v>
      </c>
      <c r="D4" s="475">
        <f>C4*8.5</f>
        <v>495890</v>
      </c>
      <c r="E4" s="475">
        <v>48422</v>
      </c>
      <c r="F4" s="512">
        <v>93389</v>
      </c>
      <c r="G4" s="512">
        <v>10000</v>
      </c>
      <c r="H4" s="512">
        <f>SUM(G4,F4,D4)</f>
        <v>599279</v>
      </c>
      <c r="I4" s="513">
        <f>H4*1.1</f>
        <v>659206.9</v>
      </c>
      <c r="J4" s="514"/>
      <c r="K4" s="515">
        <v>29981</v>
      </c>
      <c r="L4" s="515">
        <v>3471</v>
      </c>
      <c r="M4" s="516">
        <v>250985</v>
      </c>
      <c r="N4" s="505">
        <f t="shared" ref="N4:N10" si="0">M4/I4</f>
        <v>0.38073782298091841</v>
      </c>
    </row>
    <row r="5" spans="1:17" ht="25.05" customHeight="1">
      <c r="A5" s="518">
        <v>45800</v>
      </c>
      <c r="B5" s="9" t="s">
        <v>14</v>
      </c>
      <c r="C5" s="519">
        <v>68665</v>
      </c>
      <c r="D5" s="519">
        <v>583653</v>
      </c>
      <c r="E5" s="519">
        <v>306079</v>
      </c>
      <c r="F5" s="230">
        <v>633470</v>
      </c>
      <c r="G5" s="596">
        <v>7000</v>
      </c>
      <c r="H5" s="512">
        <f>SUM(G5,F5,D5)</f>
        <v>1224123</v>
      </c>
      <c r="I5" s="513">
        <f>H5*1.1</f>
        <v>1346535.3</v>
      </c>
      <c r="J5" s="522" t="s">
        <v>187</v>
      </c>
      <c r="K5" s="523">
        <v>30985</v>
      </c>
      <c r="L5" s="523">
        <v>4934</v>
      </c>
      <c r="M5" s="524">
        <v>352116</v>
      </c>
      <c r="N5" s="505">
        <f t="shared" si="0"/>
        <v>0.26149778620731295</v>
      </c>
    </row>
    <row r="6" spans="1:17" ht="22.05" customHeight="1">
      <c r="A6" s="15"/>
      <c r="B6" s="21"/>
      <c r="C6" s="525"/>
      <c r="D6" s="525"/>
      <c r="E6" s="525"/>
      <c r="F6" s="526"/>
      <c r="G6" s="526"/>
      <c r="H6" s="526"/>
      <c r="I6" s="527"/>
      <c r="J6" s="528"/>
      <c r="K6" s="529"/>
      <c r="L6" s="529"/>
      <c r="M6" s="530"/>
    </row>
    <row r="7" spans="1:17" ht="22.05" customHeight="1">
      <c r="A7" s="925" t="s">
        <v>163</v>
      </c>
      <c r="B7" s="926"/>
      <c r="C7" s="531"/>
      <c r="D7" s="531"/>
      <c r="E7" s="18">
        <v>40000</v>
      </c>
      <c r="F7" s="19">
        <v>160000</v>
      </c>
      <c r="G7" s="19"/>
      <c r="H7" s="19">
        <f>F7+G7</f>
        <v>160000</v>
      </c>
      <c r="I7" s="532">
        <f>H7*1.1</f>
        <v>176000</v>
      </c>
      <c r="J7" s="25" t="s">
        <v>188</v>
      </c>
      <c r="K7" s="533">
        <v>10300</v>
      </c>
      <c r="L7" s="533">
        <v>1448</v>
      </c>
      <c r="M7" s="534">
        <v>46300</v>
      </c>
      <c r="N7" s="505">
        <f t="shared" si="0"/>
        <v>0.26306818181818181</v>
      </c>
    </row>
    <row r="8" spans="1:17" ht="22.05" customHeight="1">
      <c r="A8" s="925" t="s">
        <v>163</v>
      </c>
      <c r="B8" s="926"/>
      <c r="C8" s="531"/>
      <c r="D8" s="531"/>
      <c r="E8" s="18">
        <v>40000</v>
      </c>
      <c r="F8" s="19">
        <v>160000</v>
      </c>
      <c r="G8" s="19"/>
      <c r="H8" s="19">
        <f t="shared" ref="H8:H16" si="1">F8+G8</f>
        <v>160000</v>
      </c>
      <c r="I8" s="532">
        <f t="shared" ref="I8:I11" si="2">H8*1.1</f>
        <v>176000</v>
      </c>
      <c r="J8" s="25" t="s">
        <v>189</v>
      </c>
      <c r="K8" s="533">
        <v>3940</v>
      </c>
      <c r="L8" s="533">
        <v>543</v>
      </c>
      <c r="M8" s="534">
        <v>57400</v>
      </c>
      <c r="N8" s="505">
        <f t="shared" si="0"/>
        <v>0.32613636363636361</v>
      </c>
    </row>
    <row r="9" spans="1:17" ht="22.05" customHeight="1">
      <c r="A9" s="925"/>
      <c r="B9" s="926"/>
      <c r="C9" s="18"/>
      <c r="D9" s="18"/>
      <c r="E9" s="18"/>
      <c r="F9" s="19"/>
      <c r="G9" s="19"/>
      <c r="H9" s="19"/>
      <c r="I9" s="532"/>
      <c r="J9" s="25"/>
      <c r="K9" s="533"/>
      <c r="L9" s="533"/>
      <c r="M9" s="534"/>
    </row>
    <row r="10" spans="1:17" ht="22.05" customHeight="1">
      <c r="A10" s="925" t="s">
        <v>16</v>
      </c>
      <c r="B10" s="926"/>
      <c r="C10" s="531"/>
      <c r="D10" s="531"/>
      <c r="E10" s="18">
        <v>10000</v>
      </c>
      <c r="F10" s="19">
        <f>E10*4</f>
        <v>40000</v>
      </c>
      <c r="G10" s="19"/>
      <c r="H10" s="19">
        <f t="shared" si="1"/>
        <v>40000</v>
      </c>
      <c r="I10" s="532">
        <f t="shared" si="2"/>
        <v>44000</v>
      </c>
      <c r="J10" s="25"/>
      <c r="K10" s="533"/>
      <c r="L10" s="533"/>
      <c r="M10" s="534">
        <v>16520</v>
      </c>
      <c r="N10" s="505">
        <f t="shared" si="0"/>
        <v>0.37545454545454543</v>
      </c>
    </row>
    <row r="11" spans="1:17" ht="22.05" customHeight="1">
      <c r="A11" s="925" t="s">
        <v>190</v>
      </c>
      <c r="B11" s="926"/>
      <c r="C11" s="531"/>
      <c r="D11" s="531"/>
      <c r="E11" s="18">
        <v>12000</v>
      </c>
      <c r="F11" s="19">
        <f>E11*4</f>
        <v>48000</v>
      </c>
      <c r="G11" s="19"/>
      <c r="H11" s="19">
        <f t="shared" si="1"/>
        <v>48000</v>
      </c>
      <c r="I11" s="532">
        <f t="shared" si="2"/>
        <v>52800.000000000007</v>
      </c>
      <c r="J11" s="25"/>
      <c r="K11" s="533"/>
      <c r="L11" s="533"/>
      <c r="M11" s="534">
        <v>4910</v>
      </c>
    </row>
    <row r="12" spans="1:17" ht="22.05" customHeight="1">
      <c r="A12" s="15"/>
      <c r="B12" s="26"/>
      <c r="C12" s="18"/>
      <c r="D12" s="19"/>
      <c r="E12" s="43"/>
      <c r="F12" s="19"/>
      <c r="G12" s="19"/>
      <c r="H12" s="19"/>
      <c r="I12" s="532"/>
      <c r="J12" s="25"/>
      <c r="K12" s="533"/>
      <c r="L12" s="533"/>
      <c r="M12" s="534"/>
    </row>
    <row r="13" spans="1:17" ht="22.05" customHeight="1">
      <c r="A13" s="925" t="s">
        <v>191</v>
      </c>
      <c r="B13" s="926"/>
      <c r="C13" s="531"/>
      <c r="D13" s="535"/>
      <c r="E13" s="536">
        <v>70000</v>
      </c>
      <c r="F13" s="537">
        <v>203118</v>
      </c>
      <c r="G13" s="537"/>
      <c r="H13" s="19">
        <f t="shared" si="1"/>
        <v>203118</v>
      </c>
      <c r="I13" s="539">
        <f>H13*1.1</f>
        <v>223429.80000000002</v>
      </c>
      <c r="J13" s="540"/>
      <c r="K13" s="541">
        <v>7220</v>
      </c>
      <c r="L13" s="541">
        <v>1118</v>
      </c>
      <c r="M13" s="542">
        <v>30459</v>
      </c>
      <c r="N13" s="505">
        <f>M13/I13</f>
        <v>0.13632469795882196</v>
      </c>
    </row>
    <row r="14" spans="1:17" ht="19.05" customHeight="1">
      <c r="A14" s="925" t="s">
        <v>192</v>
      </c>
      <c r="B14" s="926"/>
      <c r="C14" s="531"/>
      <c r="D14" s="535"/>
      <c r="E14" s="543">
        <v>8220</v>
      </c>
      <c r="F14" s="544">
        <v>20139</v>
      </c>
      <c r="G14" s="171"/>
      <c r="H14" s="19">
        <f t="shared" si="1"/>
        <v>20139</v>
      </c>
      <c r="I14" s="539">
        <f t="shared" ref="I14:I16" si="3">H14*1.1</f>
        <v>22152.9</v>
      </c>
      <c r="J14" s="540"/>
      <c r="K14" s="542"/>
      <c r="L14" s="542"/>
      <c r="M14" s="542">
        <v>11508</v>
      </c>
      <c r="N14" s="505">
        <f>M14/I14</f>
        <v>0.51948051948051943</v>
      </c>
    </row>
    <row r="15" spans="1:17" ht="22.05" customHeight="1">
      <c r="A15" s="925" t="s">
        <v>193</v>
      </c>
      <c r="B15" s="926"/>
      <c r="C15" s="531"/>
      <c r="D15" s="535"/>
      <c r="E15" s="543">
        <v>63280</v>
      </c>
      <c r="F15" s="544">
        <v>184446</v>
      </c>
      <c r="G15" s="171"/>
      <c r="H15" s="19">
        <f t="shared" si="1"/>
        <v>184446</v>
      </c>
      <c r="I15" s="539">
        <f t="shared" si="3"/>
        <v>202890.6</v>
      </c>
      <c r="J15" s="540"/>
      <c r="K15" s="542">
        <v>3540</v>
      </c>
      <c r="L15" s="542">
        <v>711</v>
      </c>
      <c r="M15" s="542">
        <v>6311</v>
      </c>
      <c r="N15" s="505">
        <f>M15/I15</f>
        <v>3.1105433174331388E-2</v>
      </c>
    </row>
    <row r="16" spans="1:17" ht="22.05" customHeight="1">
      <c r="A16" s="925" t="s">
        <v>194</v>
      </c>
      <c r="B16" s="926"/>
      <c r="C16" s="531"/>
      <c r="D16" s="535"/>
      <c r="E16" s="543">
        <v>35350</v>
      </c>
      <c r="F16" s="544">
        <v>137460</v>
      </c>
      <c r="G16" s="171"/>
      <c r="H16" s="19">
        <f t="shared" si="1"/>
        <v>137460</v>
      </c>
      <c r="I16" s="539">
        <f t="shared" si="3"/>
        <v>151206</v>
      </c>
      <c r="J16" s="540"/>
      <c r="K16" s="542">
        <v>8680</v>
      </c>
      <c r="L16" s="542">
        <v>1192</v>
      </c>
      <c r="M16" s="542">
        <v>19506</v>
      </c>
    </row>
    <row r="17" spans="1:15" s="502" customFormat="1" ht="22.05" customHeight="1">
      <c r="A17" s="15"/>
      <c r="B17" s="26"/>
      <c r="C17" s="18"/>
      <c r="D17" s="19"/>
      <c r="E17" s="543"/>
      <c r="F17" s="544"/>
      <c r="G17" s="18"/>
      <c r="H17" s="171"/>
      <c r="I17" s="532"/>
      <c r="J17" s="545"/>
      <c r="K17" s="542"/>
      <c r="L17" s="542"/>
      <c r="M17" s="542"/>
      <c r="N17" s="505"/>
    </row>
    <row r="18" spans="1:15" s="502" customFormat="1" ht="22.05" customHeight="1">
      <c r="A18" s="988" t="s">
        <v>17</v>
      </c>
      <c r="B18" s="936" t="s">
        <v>195</v>
      </c>
      <c r="C18" s="140">
        <v>8150</v>
      </c>
      <c r="D18" s="123">
        <f>C18*12</f>
        <v>97800</v>
      </c>
      <c r="E18" s="597">
        <v>10690</v>
      </c>
      <c r="F18" s="598">
        <f>E18*2</f>
        <v>21380</v>
      </c>
      <c r="G18" s="140"/>
      <c r="H18" s="599">
        <f>SUM(G18,F18,D18)</f>
        <v>119180</v>
      </c>
      <c r="I18" s="548">
        <f>H18*1.1</f>
        <v>131098</v>
      </c>
      <c r="J18" s="549" t="s">
        <v>196</v>
      </c>
      <c r="K18" s="973">
        <v>3150</v>
      </c>
      <c r="L18" s="973">
        <v>842</v>
      </c>
      <c r="M18" s="975">
        <v>254580</v>
      </c>
      <c r="N18" s="972">
        <v>0.35199999999999998</v>
      </c>
    </row>
    <row r="19" spans="1:15" s="502" customFormat="1" ht="22.05" customHeight="1">
      <c r="A19" s="989"/>
      <c r="B19" s="937"/>
      <c r="C19" s="142">
        <v>8350</v>
      </c>
      <c r="D19" s="131">
        <f t="shared" ref="D19:D20" si="4">C19*10</f>
        <v>83500</v>
      </c>
      <c r="E19" s="600">
        <v>39900</v>
      </c>
      <c r="F19" s="601">
        <v>59850</v>
      </c>
      <c r="G19" s="142"/>
      <c r="H19" s="551">
        <f t="shared" ref="H19:H21" si="5">SUM(G19,F19,D19)</f>
        <v>143350</v>
      </c>
      <c r="I19" s="552">
        <f t="shared" ref="I19:I20" si="6">H19*1.1</f>
        <v>157685</v>
      </c>
      <c r="J19" s="553" t="s">
        <v>179</v>
      </c>
      <c r="K19" s="1009"/>
      <c r="L19" s="1009"/>
      <c r="M19" s="984"/>
      <c r="N19" s="972"/>
    </row>
    <row r="20" spans="1:15" s="502" customFormat="1" ht="22.05" customHeight="1">
      <c r="A20" s="989"/>
      <c r="B20" s="937"/>
      <c r="C20" s="10">
        <v>17600</v>
      </c>
      <c r="D20" s="520">
        <f t="shared" si="4"/>
        <v>176000</v>
      </c>
      <c r="E20" s="602">
        <v>92000</v>
      </c>
      <c r="F20" s="603">
        <v>138000</v>
      </c>
      <c r="G20" s="10"/>
      <c r="H20" s="604">
        <f t="shared" si="5"/>
        <v>314000</v>
      </c>
      <c r="I20" s="558">
        <f t="shared" si="6"/>
        <v>345400</v>
      </c>
      <c r="J20" s="559" t="s">
        <v>180</v>
      </c>
      <c r="K20" s="974"/>
      <c r="L20" s="974"/>
      <c r="M20" s="976"/>
      <c r="N20" s="972"/>
    </row>
    <row r="21" spans="1:15" s="502" customFormat="1" ht="22.05" customHeight="1">
      <c r="A21" s="990"/>
      <c r="B21" s="991"/>
      <c r="C21" s="139">
        <f>SUM(C18:C20)</f>
        <v>34100</v>
      </c>
      <c r="D21" s="118">
        <f>SUM(D18:D20)</f>
        <v>357300</v>
      </c>
      <c r="E21" s="605">
        <f>SUM(E18:E20)</f>
        <v>142590</v>
      </c>
      <c r="F21" s="605">
        <f>SUM(F18:F20)</f>
        <v>219230</v>
      </c>
      <c r="G21" s="139"/>
      <c r="H21" s="604">
        <f t="shared" si="5"/>
        <v>576530</v>
      </c>
      <c r="I21" s="606">
        <f>SUM(I18:I20)</f>
        <v>634183</v>
      </c>
      <c r="J21" s="559"/>
      <c r="K21" s="560"/>
      <c r="L21" s="560"/>
      <c r="M21" s="561"/>
      <c r="N21" s="562"/>
    </row>
    <row r="22" spans="1:15" s="502" customFormat="1" ht="25.05" customHeight="1">
      <c r="A22" s="927" t="s">
        <v>197</v>
      </c>
      <c r="B22" s="563" t="s">
        <v>182</v>
      </c>
      <c r="C22" s="564">
        <f>SUM(C7:C10,C4:C5)</f>
        <v>127005</v>
      </c>
      <c r="D22" s="564">
        <f>SUM(D7:D10,D4:D5)</f>
        <v>1079543</v>
      </c>
      <c r="E22" s="564">
        <f>SUM(E4:E11)</f>
        <v>456501</v>
      </c>
      <c r="F22" s="564">
        <f t="shared" ref="F22:G22" si="7">SUM(F4:F11)</f>
        <v>1134859</v>
      </c>
      <c r="G22" s="564">
        <f t="shared" si="7"/>
        <v>17000</v>
      </c>
      <c r="H22" s="607">
        <f>SUM(H4:H11)</f>
        <v>2231402</v>
      </c>
      <c r="I22" s="608">
        <v>2454541</v>
      </c>
      <c r="J22" s="567" t="s">
        <v>198</v>
      </c>
      <c r="K22" s="568"/>
      <c r="L22" s="568"/>
      <c r="M22" s="569"/>
      <c r="N22" s="505"/>
      <c r="O22" s="570"/>
    </row>
    <row r="23" spans="1:15" s="502" customFormat="1" ht="25.05" customHeight="1">
      <c r="A23" s="928"/>
      <c r="B23" s="571"/>
      <c r="C23" s="572"/>
      <c r="D23" s="572"/>
      <c r="E23" s="572"/>
      <c r="F23" s="572"/>
      <c r="G23" s="572"/>
      <c r="H23" s="573"/>
      <c r="I23" s="609"/>
      <c r="J23" s="575"/>
      <c r="K23" s="576"/>
      <c r="L23" s="576"/>
      <c r="M23" s="577"/>
      <c r="N23" s="505"/>
      <c r="O23" s="570"/>
    </row>
    <row r="24" spans="1:15" s="502" customFormat="1" ht="25.05" customHeight="1">
      <c r="A24" s="928"/>
      <c r="B24" s="578" t="s">
        <v>5</v>
      </c>
      <c r="C24" s="579"/>
      <c r="D24" s="579"/>
      <c r="E24" s="579">
        <f>SUM(E13:E16)</f>
        <v>176850</v>
      </c>
      <c r="F24" s="579">
        <f t="shared" ref="F24" si="8">SUM(F13:F16)</f>
        <v>545163</v>
      </c>
      <c r="G24" s="579"/>
      <c r="H24" s="580">
        <f>SUM(G24,F24,D24)</f>
        <v>545163</v>
      </c>
      <c r="I24" s="610">
        <f>H24*1.1</f>
        <v>599679.30000000005</v>
      </c>
      <c r="J24" s="582" t="s">
        <v>199</v>
      </c>
      <c r="K24" s="576"/>
      <c r="L24" s="576"/>
      <c r="M24" s="577"/>
      <c r="N24" s="505"/>
      <c r="O24" s="570"/>
    </row>
    <row r="25" spans="1:15" s="502" customFormat="1" ht="25.05" customHeight="1">
      <c r="A25" s="928"/>
      <c r="B25" s="578"/>
      <c r="C25" s="579">
        <f>SUM(C18:C20)</f>
        <v>34100</v>
      </c>
      <c r="D25" s="579">
        <f>SUM(D18:D20)</f>
        <v>357300</v>
      </c>
      <c r="E25" s="579">
        <f>SUM(E18:E20)</f>
        <v>142590</v>
      </c>
      <c r="F25" s="579">
        <f>SUM(F18:F20)</f>
        <v>219230</v>
      </c>
      <c r="G25" s="579"/>
      <c r="H25" s="580">
        <f>SUM(G25,F25,D25)</f>
        <v>576530</v>
      </c>
      <c r="I25" s="610">
        <f>H25*1.1</f>
        <v>634183</v>
      </c>
      <c r="J25" s="582" t="s">
        <v>200</v>
      </c>
      <c r="K25" s="576"/>
      <c r="L25" s="576"/>
      <c r="M25" s="577"/>
      <c r="N25" s="505"/>
      <c r="O25" s="570"/>
    </row>
    <row r="26" spans="1:15" s="502" customFormat="1" ht="25.05" customHeight="1">
      <c r="A26" s="928"/>
      <c r="B26" s="578"/>
      <c r="C26" s="579"/>
      <c r="D26" s="579"/>
      <c r="E26" s="579"/>
      <c r="F26" s="579"/>
      <c r="G26" s="579"/>
      <c r="H26" s="580"/>
      <c r="I26" s="610"/>
      <c r="J26" s="582"/>
      <c r="K26" s="576"/>
      <c r="L26" s="576"/>
      <c r="M26" s="577"/>
      <c r="N26" s="505"/>
      <c r="O26" s="570"/>
    </row>
    <row r="27" spans="1:15" s="502" customFormat="1" ht="25.05" customHeight="1" thickBot="1">
      <c r="A27" s="928"/>
      <c r="B27" s="37"/>
      <c r="C27" s="38"/>
      <c r="D27" s="38"/>
      <c r="E27" s="38"/>
      <c r="F27" s="38"/>
      <c r="G27" s="38"/>
      <c r="H27" s="583"/>
      <c r="I27" s="611"/>
      <c r="J27" s="585"/>
      <c r="K27" s="586"/>
      <c r="L27" s="586"/>
      <c r="M27" s="587"/>
      <c r="N27" s="505"/>
      <c r="O27" s="570"/>
    </row>
    <row r="28" spans="1:15" s="502" customFormat="1" ht="28.05" customHeight="1" thickTop="1">
      <c r="A28" s="929"/>
      <c r="B28" s="39" t="s">
        <v>19</v>
      </c>
      <c r="C28" s="588">
        <f>SUM(C22:C27)</f>
        <v>161105</v>
      </c>
      <c r="D28" s="588">
        <f>SUM(D22:D27)</f>
        <v>1436843</v>
      </c>
      <c r="E28" s="588">
        <f>SUM(E22:E27)</f>
        <v>775941</v>
      </c>
      <c r="F28" s="588">
        <f>SUM(F22:F27)</f>
        <v>1899252</v>
      </c>
      <c r="G28" s="588">
        <f>SUM(G22)</f>
        <v>17000</v>
      </c>
      <c r="H28" s="589">
        <f>SUM(G28,F28,D28)</f>
        <v>3353095</v>
      </c>
      <c r="I28" s="590">
        <f>SUM(I22:I27)</f>
        <v>3688403.3</v>
      </c>
      <c r="J28" s="591" t="s">
        <v>201</v>
      </c>
      <c r="K28" s="592">
        <f>SUM(K4:K21)</f>
        <v>97796</v>
      </c>
      <c r="L28" s="592">
        <f>SUM(L4:L21)</f>
        <v>14259</v>
      </c>
      <c r="M28" s="593">
        <f>SUM(M4:M24)</f>
        <v>1050595</v>
      </c>
      <c r="N28" s="505">
        <f t="shared" ref="N28" si="9">M28/I28</f>
        <v>0.28483734411581296</v>
      </c>
      <c r="O28" s="570"/>
    </row>
    <row r="29" spans="1:15" s="502" customFormat="1" ht="33" customHeight="1">
      <c r="A29"/>
      <c r="B29" s="40" t="s">
        <v>20</v>
      </c>
      <c r="G29" s="594" t="s">
        <v>157</v>
      </c>
      <c r="H29" s="612">
        <v>310000</v>
      </c>
      <c r="I29" s="613"/>
      <c r="M29" s="504"/>
      <c r="N29" s="505"/>
    </row>
  </sheetData>
  <mergeCells count="28">
    <mergeCell ref="L18:L20"/>
    <mergeCell ref="M18:M20"/>
    <mergeCell ref="N18:N20"/>
    <mergeCell ref="A22:A28"/>
    <mergeCell ref="A14:B14"/>
    <mergeCell ref="A15:B15"/>
    <mergeCell ref="A16:B16"/>
    <mergeCell ref="A18:A21"/>
    <mergeCell ref="B18:B21"/>
    <mergeCell ref="K18:K20"/>
    <mergeCell ref="A13:B13"/>
    <mergeCell ref="H2:H3"/>
    <mergeCell ref="I2:I3"/>
    <mergeCell ref="J2:J3"/>
    <mergeCell ref="K2:K3"/>
    <mergeCell ref="A7:B7"/>
    <mergeCell ref="A8:B8"/>
    <mergeCell ref="A9:B9"/>
    <mergeCell ref="A10:B10"/>
    <mergeCell ref="A11:B11"/>
    <mergeCell ref="L2:L3"/>
    <mergeCell ref="M2:M3"/>
    <mergeCell ref="A1:F1"/>
    <mergeCell ref="A2:A3"/>
    <mergeCell ref="B2:B3"/>
    <mergeCell ref="C2:D2"/>
    <mergeCell ref="E2:F2"/>
    <mergeCell ref="G2:G3"/>
  </mergeCells>
  <phoneticPr fontId="3"/>
  <conditionalFormatting sqref="E14:E16">
    <cfRule type="expression" dxfId="65" priority="19">
      <formula>COUNTIF(#REF!,"*済*")</formula>
    </cfRule>
    <cfRule type="expression" dxfId="64" priority="20">
      <formula>COUNTIF(#REF!,"*一部*")</formula>
    </cfRule>
    <cfRule type="expression" dxfId="63" priority="21">
      <formula>COUNTIF(#REF!,"*未*")</formula>
    </cfRule>
  </conditionalFormatting>
  <conditionalFormatting sqref="E14:F21">
    <cfRule type="expression" dxfId="62" priority="16">
      <formula>COUNTIF(#REF!,"*済*")</formula>
    </cfRule>
    <cfRule type="expression" dxfId="61" priority="17">
      <formula>COUNTIF(#REF!,"*一部*")</formula>
    </cfRule>
    <cfRule type="expression" dxfId="60" priority="18">
      <formula>COUNTIF(#REF!,"*未*")</formula>
    </cfRule>
  </conditionalFormatting>
  <conditionalFormatting sqref="E13:G13 I13:I16">
    <cfRule type="expression" dxfId="59" priority="1">
      <formula>COUNTIF(#REF!,"*済*")</formula>
    </cfRule>
    <cfRule type="expression" dxfId="58" priority="2">
      <formula>COUNTIF(#REF!,"*一部*")</formula>
    </cfRule>
    <cfRule type="expression" dxfId="57" priority="3">
      <formula>COUNTIF(#REF!,"*未*")</formula>
    </cfRule>
  </conditionalFormatting>
  <conditionalFormatting sqref="E13:G13 I13:K13 I14:J16">
    <cfRule type="expression" dxfId="56" priority="4">
      <formula>COUNTIF(#REF!,"*済*")</formula>
    </cfRule>
    <cfRule type="expression" dxfId="55" priority="5">
      <formula>COUNTIF(#REF!,"*一部*")</formula>
    </cfRule>
    <cfRule type="expression" dxfId="54" priority="6">
      <formula>COUNTIF(#REF!,"*未*")</formula>
    </cfRule>
  </conditionalFormatting>
  <conditionalFormatting sqref="F14:F21">
    <cfRule type="expression" dxfId="53" priority="7">
      <formula>COUNTIF(#REF!,"*済*")</formula>
    </cfRule>
    <cfRule type="expression" dxfId="52" priority="8">
      <formula>COUNTIF(#REF!,"*一部*")</formula>
    </cfRule>
    <cfRule type="expression" dxfId="51" priority="9">
      <formula>COUNTIF(#REF!,"*未*")</formula>
    </cfRule>
    <cfRule type="expression" dxfId="50" priority="10">
      <formula>COUNTIF(#REF!,"*済*")</formula>
    </cfRule>
    <cfRule type="expression" dxfId="49" priority="11">
      <formula>COUNTIF(#REF!,"*一部*")</formula>
    </cfRule>
    <cfRule type="expression" dxfId="48" priority="12">
      <formula>COUNTIF(#REF!,"*未*")</formula>
    </cfRule>
    <cfRule type="expression" dxfId="47" priority="13">
      <formula>COUNTIF(#REF!,"*済*")</formula>
    </cfRule>
    <cfRule type="expression" dxfId="46" priority="14">
      <formula>COUNTIF(#REF!,"*一部*")</formula>
    </cfRule>
    <cfRule type="expression" dxfId="45" priority="15">
      <formula>COUNTIF(#REF!,"*未*")</formula>
    </cfRule>
  </conditionalFormatting>
  <conditionalFormatting sqref="J13:K13 J14:J17 J18:L18 J19:J21">
    <cfRule type="expression" dxfId="44" priority="22">
      <formula>COUNTIF(#REF!,"*済*")</formula>
    </cfRule>
    <cfRule type="expression" dxfId="43" priority="23">
      <formula>COUNTIF(#REF!,"*一部*")</formula>
    </cfRule>
    <cfRule type="expression" dxfId="42" priority="24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1635-2A15-44C9-87D5-2091AB9A94E3}">
  <sheetPr>
    <pageSetUpPr fitToPage="1"/>
  </sheetPr>
  <dimension ref="A1:Q29"/>
  <sheetViews>
    <sheetView zoomScale="90" zoomScaleNormal="90" workbookViewId="0">
      <pane ySplit="3" topLeftCell="A4" activePane="bottomLeft" state="frozen"/>
      <selection activeCell="D1" sqref="D1"/>
      <selection pane="bottomLeft" activeCell="I28" sqref="I28"/>
    </sheetView>
  </sheetViews>
  <sheetFormatPr defaultRowHeight="13.2"/>
  <cols>
    <col min="1" max="1" width="10.6640625" customWidth="1"/>
    <col min="2" max="2" width="11.33203125" style="42" customWidth="1"/>
    <col min="3" max="3" width="10.6640625" style="502" customWidth="1"/>
    <col min="4" max="4" width="12.6640625" style="502" customWidth="1"/>
    <col min="5" max="5" width="10.6640625" style="502" customWidth="1"/>
    <col min="6" max="6" width="12.6640625" style="502" customWidth="1"/>
    <col min="7" max="7" width="10.6640625" style="502" customWidth="1"/>
    <col min="8" max="8" width="11.77734375" style="502" customWidth="1"/>
    <col min="9" max="9" width="13.6640625" style="570" customWidth="1"/>
    <col min="10" max="10" width="45.109375" style="502" customWidth="1"/>
    <col min="11" max="12" width="10.77734375" style="502" customWidth="1"/>
    <col min="13" max="13" width="13.44140625" style="504" customWidth="1"/>
    <col min="14" max="14" width="8.88671875" style="505"/>
    <col min="15" max="15" width="11.33203125" style="502" customWidth="1"/>
    <col min="16" max="16" width="9.109375" style="502" bestFit="1" customWidth="1"/>
    <col min="17" max="17" width="8.88671875" style="502"/>
  </cols>
  <sheetData>
    <row r="1" spans="1:17" ht="32.25" customHeight="1">
      <c r="A1" s="946" t="s">
        <v>159</v>
      </c>
      <c r="B1" s="946"/>
      <c r="C1" s="946"/>
      <c r="D1" s="946"/>
      <c r="E1" s="946"/>
      <c r="F1" s="946"/>
      <c r="I1" s="503"/>
    </row>
    <row r="2" spans="1:17" ht="20.25" customHeight="1">
      <c r="A2" s="873" t="s">
        <v>1</v>
      </c>
      <c r="B2" s="947" t="s">
        <v>2</v>
      </c>
      <c r="C2" s="956" t="s">
        <v>3</v>
      </c>
      <c r="D2" s="956"/>
      <c r="E2" s="956" t="s">
        <v>4</v>
      </c>
      <c r="F2" s="957"/>
      <c r="G2" s="979" t="s">
        <v>5</v>
      </c>
      <c r="H2" s="981" t="s">
        <v>160</v>
      </c>
      <c r="I2" s="983" t="s">
        <v>161</v>
      </c>
      <c r="J2" s="964" t="s">
        <v>7</v>
      </c>
      <c r="K2" s="966" t="s">
        <v>162</v>
      </c>
      <c r="L2" s="952" t="s">
        <v>9</v>
      </c>
      <c r="M2" s="954" t="s">
        <v>10</v>
      </c>
    </row>
    <row r="3" spans="1:17" s="7" customFormat="1" ht="20.25" customHeight="1" thickBot="1">
      <c r="A3" s="874"/>
      <c r="B3" s="948"/>
      <c r="C3" s="506" t="s">
        <v>11</v>
      </c>
      <c r="D3" s="506" t="s">
        <v>12</v>
      </c>
      <c r="E3" s="506" t="s">
        <v>11</v>
      </c>
      <c r="F3" s="507" t="s">
        <v>12</v>
      </c>
      <c r="G3" s="980"/>
      <c r="H3" s="982"/>
      <c r="I3" s="955"/>
      <c r="J3" s="965"/>
      <c r="K3" s="967"/>
      <c r="L3" s="953"/>
      <c r="M3" s="955"/>
      <c r="N3" s="508"/>
      <c r="O3" s="509"/>
      <c r="P3" s="509"/>
      <c r="Q3" s="509"/>
    </row>
    <row r="4" spans="1:17" ht="25.05" customHeight="1" thickTop="1">
      <c r="A4" s="510">
        <v>45765</v>
      </c>
      <c r="B4" s="511" t="s">
        <v>13</v>
      </c>
      <c r="C4" s="475">
        <v>58916</v>
      </c>
      <c r="D4" s="475">
        <v>500786</v>
      </c>
      <c r="E4" s="475">
        <v>71737</v>
      </c>
      <c r="F4" s="512">
        <v>138518</v>
      </c>
      <c r="G4" s="512">
        <v>10000</v>
      </c>
      <c r="H4" s="512">
        <f>SUM(G4,F4,D4)</f>
        <v>649304</v>
      </c>
      <c r="I4" s="513">
        <f>H4*1.1</f>
        <v>714234.4</v>
      </c>
      <c r="J4" s="514"/>
      <c r="K4" s="515">
        <v>32263</v>
      </c>
      <c r="L4" s="515">
        <v>3659</v>
      </c>
      <c r="M4" s="516">
        <v>275489</v>
      </c>
      <c r="N4" s="517"/>
    </row>
    <row r="5" spans="1:17" ht="25.05" customHeight="1">
      <c r="A5" s="518">
        <v>45772</v>
      </c>
      <c r="B5" s="9" t="s">
        <v>14</v>
      </c>
      <c r="C5" s="519">
        <v>67689</v>
      </c>
      <c r="D5" s="519">
        <f>C5*8.5</f>
        <v>575356.5</v>
      </c>
      <c r="E5" s="229">
        <v>338342</v>
      </c>
      <c r="F5" s="230">
        <v>674184</v>
      </c>
      <c r="G5" s="230">
        <v>5000</v>
      </c>
      <c r="H5" s="520">
        <f>SUM(G5,F5,D5)</f>
        <v>1254540.5</v>
      </c>
      <c r="I5" s="521">
        <f>H5*1.1</f>
        <v>1379994.55</v>
      </c>
      <c r="J5" s="522"/>
      <c r="K5" s="523">
        <v>30578</v>
      </c>
      <c r="L5" s="523">
        <v>4386</v>
      </c>
      <c r="M5" s="524">
        <v>363036</v>
      </c>
      <c r="N5" s="505">
        <f t="shared" ref="N5:N10" si="0">M5/I5</f>
        <v>0.26307060415564681</v>
      </c>
    </row>
    <row r="6" spans="1:17" ht="22.05" customHeight="1">
      <c r="A6" s="15"/>
      <c r="B6" s="21"/>
      <c r="C6" s="525"/>
      <c r="D6" s="525"/>
      <c r="E6" s="525"/>
      <c r="F6" s="526"/>
      <c r="G6" s="526"/>
      <c r="H6" s="526"/>
      <c r="I6" s="527"/>
      <c r="J6" s="528"/>
      <c r="K6" s="529"/>
      <c r="L6" s="529"/>
      <c r="M6" s="530"/>
    </row>
    <row r="7" spans="1:17" ht="22.05" customHeight="1">
      <c r="A7" s="925" t="s">
        <v>163</v>
      </c>
      <c r="B7" s="926"/>
      <c r="C7" s="531"/>
      <c r="D7" s="531"/>
      <c r="E7" s="18">
        <v>40000</v>
      </c>
      <c r="F7" s="19">
        <f>E7*4</f>
        <v>160000</v>
      </c>
      <c r="G7" s="19"/>
      <c r="H7" s="19">
        <v>160000</v>
      </c>
      <c r="I7" s="532">
        <f>H7*1.1</f>
        <v>176000</v>
      </c>
      <c r="J7" s="25" t="s">
        <v>164</v>
      </c>
      <c r="K7" s="533">
        <v>3800</v>
      </c>
      <c r="L7" s="533">
        <v>821</v>
      </c>
      <c r="M7" s="534">
        <v>54920</v>
      </c>
      <c r="N7" s="505">
        <f t="shared" si="0"/>
        <v>0.31204545454545457</v>
      </c>
    </row>
    <row r="8" spans="1:17" ht="22.05" customHeight="1">
      <c r="A8" s="925" t="s">
        <v>163</v>
      </c>
      <c r="B8" s="926"/>
      <c r="C8" s="531"/>
      <c r="D8" s="531"/>
      <c r="E8" s="18">
        <v>40000</v>
      </c>
      <c r="F8" s="19">
        <f t="shared" ref="F8:F10" si="1">E8*4</f>
        <v>160000</v>
      </c>
      <c r="G8" s="19"/>
      <c r="H8" s="19">
        <v>160000</v>
      </c>
      <c r="I8" s="532">
        <f t="shared" ref="I8:I10" si="2">H8*1.1</f>
        <v>176000</v>
      </c>
      <c r="J8" s="25" t="s">
        <v>165</v>
      </c>
      <c r="K8" s="533">
        <v>3400</v>
      </c>
      <c r="L8" s="533">
        <v>490</v>
      </c>
      <c r="M8" s="534">
        <v>65125</v>
      </c>
      <c r="N8" s="505">
        <f t="shared" si="0"/>
        <v>0.37002840909090912</v>
      </c>
    </row>
    <row r="9" spans="1:17" ht="22.05" customHeight="1">
      <c r="A9" s="925" t="s">
        <v>163</v>
      </c>
      <c r="B9" s="926"/>
      <c r="C9" s="531"/>
      <c r="D9" s="531"/>
      <c r="E9" s="18">
        <v>20000</v>
      </c>
      <c r="F9" s="19">
        <f t="shared" si="1"/>
        <v>80000</v>
      </c>
      <c r="G9" s="19"/>
      <c r="H9" s="19">
        <v>80000</v>
      </c>
      <c r="I9" s="532">
        <f t="shared" si="2"/>
        <v>88000</v>
      </c>
      <c r="J9" s="25" t="s">
        <v>166</v>
      </c>
      <c r="K9" s="533"/>
      <c r="L9" s="533"/>
      <c r="M9" s="534">
        <v>56000</v>
      </c>
      <c r="N9" s="505">
        <f t="shared" si="0"/>
        <v>0.63636363636363635</v>
      </c>
    </row>
    <row r="10" spans="1:17" ht="22.05" customHeight="1">
      <c r="A10" s="925" t="s">
        <v>16</v>
      </c>
      <c r="B10" s="926"/>
      <c r="C10" s="531"/>
      <c r="D10" s="531"/>
      <c r="E10" s="18">
        <v>10000</v>
      </c>
      <c r="F10" s="19">
        <f t="shared" si="1"/>
        <v>40000</v>
      </c>
      <c r="G10" s="19"/>
      <c r="H10" s="19">
        <v>40000</v>
      </c>
      <c r="I10" s="532">
        <f t="shared" si="2"/>
        <v>44000</v>
      </c>
      <c r="J10" s="25"/>
      <c r="K10" s="533"/>
      <c r="L10" s="533"/>
      <c r="M10" s="534">
        <v>16520</v>
      </c>
      <c r="N10" s="505">
        <f t="shared" si="0"/>
        <v>0.37545454545454543</v>
      </c>
    </row>
    <row r="11" spans="1:17" ht="22.05" customHeight="1">
      <c r="A11" s="925"/>
      <c r="B11" s="926"/>
      <c r="C11" s="18"/>
      <c r="D11" s="18"/>
      <c r="E11" s="18"/>
      <c r="F11" s="19"/>
      <c r="G11" s="19"/>
      <c r="H11" s="19"/>
      <c r="I11" s="532"/>
      <c r="J11" s="25"/>
      <c r="K11" s="533"/>
      <c r="L11" s="533"/>
      <c r="M11" s="534"/>
    </row>
    <row r="12" spans="1:17" ht="22.05" customHeight="1">
      <c r="A12" s="925" t="s">
        <v>167</v>
      </c>
      <c r="B12" s="926"/>
      <c r="C12" s="531"/>
      <c r="D12" s="535"/>
      <c r="E12" s="536">
        <v>60000</v>
      </c>
      <c r="F12" s="537">
        <v>186000</v>
      </c>
      <c r="G12" s="538"/>
      <c r="H12" s="538">
        <f>SUM(G12,F12)</f>
        <v>186000</v>
      </c>
      <c r="I12" s="539">
        <f>H12*1.1</f>
        <v>204600.00000000003</v>
      </c>
      <c r="J12" s="540" t="s">
        <v>168</v>
      </c>
      <c r="K12" s="541">
        <v>5180</v>
      </c>
      <c r="L12" s="541">
        <v>1431</v>
      </c>
      <c r="M12" s="542">
        <v>42048</v>
      </c>
      <c r="N12" s="505">
        <f>M12/I12</f>
        <v>0.20551319648093838</v>
      </c>
    </row>
    <row r="13" spans="1:17" ht="22.05" customHeight="1">
      <c r="A13" s="925" t="s">
        <v>169</v>
      </c>
      <c r="B13" s="926"/>
      <c r="C13" s="531"/>
      <c r="D13" s="535"/>
      <c r="E13" s="543">
        <v>19530</v>
      </c>
      <c r="F13" s="544">
        <v>33201</v>
      </c>
      <c r="G13" s="171"/>
      <c r="H13" s="538">
        <f t="shared" ref="H13:H15" si="3">SUM(G13,F13)</f>
        <v>33201</v>
      </c>
      <c r="I13" s="539">
        <f t="shared" ref="I13:I15" si="4">H13*1.1</f>
        <v>36521.100000000006</v>
      </c>
      <c r="J13" s="540" t="s">
        <v>170</v>
      </c>
      <c r="K13" s="542"/>
      <c r="L13" s="542"/>
      <c r="M13" s="542">
        <v>11832</v>
      </c>
      <c r="N13" s="505">
        <f>M13/I13</f>
        <v>0.32397709817064652</v>
      </c>
    </row>
    <row r="14" spans="1:17" ht="22.05" customHeight="1">
      <c r="A14" s="925" t="s">
        <v>171</v>
      </c>
      <c r="B14" s="926"/>
      <c r="C14" s="531"/>
      <c r="D14" s="535"/>
      <c r="E14" s="543">
        <v>39200</v>
      </c>
      <c r="F14" s="544">
        <v>66640</v>
      </c>
      <c r="G14" s="171"/>
      <c r="H14" s="538">
        <f t="shared" si="3"/>
        <v>66640</v>
      </c>
      <c r="I14" s="539">
        <f t="shared" si="4"/>
        <v>73304</v>
      </c>
      <c r="J14" s="540" t="s">
        <v>172</v>
      </c>
      <c r="K14" s="542"/>
      <c r="L14" s="542"/>
      <c r="M14" s="542">
        <v>0</v>
      </c>
      <c r="N14" s="505">
        <f>M14/I14</f>
        <v>0</v>
      </c>
    </row>
    <row r="15" spans="1:17" ht="22.05" customHeight="1">
      <c r="A15" s="925" t="s">
        <v>173</v>
      </c>
      <c r="B15" s="926"/>
      <c r="C15" s="531"/>
      <c r="D15" s="535"/>
      <c r="E15" s="543">
        <v>50700</v>
      </c>
      <c r="F15" s="544">
        <v>192252</v>
      </c>
      <c r="G15" s="171"/>
      <c r="H15" s="538">
        <f t="shared" si="3"/>
        <v>192252</v>
      </c>
      <c r="I15" s="539">
        <f t="shared" si="4"/>
        <v>211477.2</v>
      </c>
      <c r="J15" s="545" t="s">
        <v>174</v>
      </c>
      <c r="K15" s="542">
        <v>1840</v>
      </c>
      <c r="L15" s="542"/>
      <c r="M15" s="542">
        <v>1736</v>
      </c>
      <c r="N15" s="505">
        <f>M15/I15</f>
        <v>8.2089227585763376E-3</v>
      </c>
    </row>
    <row r="16" spans="1:17" ht="22.05" customHeight="1">
      <c r="A16" s="15"/>
      <c r="B16" s="26"/>
      <c r="C16" s="18"/>
      <c r="D16" s="19"/>
      <c r="E16" s="543"/>
      <c r="F16" s="544"/>
      <c r="G16" s="171"/>
      <c r="H16" s="546"/>
      <c r="I16" s="532"/>
      <c r="J16" s="545"/>
      <c r="K16" s="542"/>
      <c r="L16" s="542"/>
      <c r="M16" s="542"/>
    </row>
    <row r="17" spans="1:15" ht="22.05" customHeight="1">
      <c r="A17" s="986" t="s">
        <v>175</v>
      </c>
      <c r="B17" s="987"/>
      <c r="C17" s="531"/>
      <c r="D17" s="531"/>
      <c r="E17" s="18">
        <v>6700</v>
      </c>
      <c r="F17" s="19">
        <f>E17*8</f>
        <v>53600</v>
      </c>
      <c r="G17" s="19"/>
      <c r="H17" s="19">
        <f>SUM(F17)</f>
        <v>53600</v>
      </c>
      <c r="I17" s="532">
        <f>H17*1.1</f>
        <v>58960.000000000007</v>
      </c>
      <c r="J17" s="25" t="s">
        <v>176</v>
      </c>
      <c r="K17" s="533"/>
      <c r="L17" s="533"/>
      <c r="M17" s="534">
        <v>2298</v>
      </c>
      <c r="N17" s="505">
        <f t="shared" ref="N17" si="5">M17/I17</f>
        <v>3.8975576662143824E-2</v>
      </c>
    </row>
    <row r="18" spans="1:15" s="502" customFormat="1" ht="22.05" customHeight="1">
      <c r="A18" s="988" t="s">
        <v>17</v>
      </c>
      <c r="B18" s="936" t="s">
        <v>177</v>
      </c>
      <c r="C18" s="313">
        <v>7200</v>
      </c>
      <c r="D18" s="314">
        <f>C18*12</f>
        <v>86400</v>
      </c>
      <c r="E18" s="313">
        <v>7600</v>
      </c>
      <c r="F18" s="547">
        <v>22400</v>
      </c>
      <c r="G18" s="322"/>
      <c r="H18" s="123">
        <f>SUM(G18,F18,D18)</f>
        <v>108800</v>
      </c>
      <c r="I18" s="548">
        <f>H18*1.1</f>
        <v>119680.00000000001</v>
      </c>
      <c r="J18" s="549" t="s">
        <v>178</v>
      </c>
      <c r="K18" s="992"/>
      <c r="L18" s="992"/>
      <c r="M18" s="975">
        <v>330040</v>
      </c>
      <c r="N18" s="972">
        <v>0.35199999999999998</v>
      </c>
    </row>
    <row r="19" spans="1:15" s="502" customFormat="1" ht="22.05" customHeight="1">
      <c r="A19" s="989"/>
      <c r="B19" s="937"/>
      <c r="C19" s="142">
        <v>8450</v>
      </c>
      <c r="D19" s="131">
        <f>C19*10</f>
        <v>84500</v>
      </c>
      <c r="E19" s="142">
        <v>23700</v>
      </c>
      <c r="F19" s="550">
        <v>44000</v>
      </c>
      <c r="G19" s="551"/>
      <c r="H19" s="131">
        <f t="shared" ref="H19:H21" si="6">SUM(G19,F19,D19)</f>
        <v>128500</v>
      </c>
      <c r="I19" s="552">
        <f t="shared" ref="I19:I20" si="7">H19*1.1</f>
        <v>141350</v>
      </c>
      <c r="J19" s="553" t="s">
        <v>179</v>
      </c>
      <c r="K19" s="993"/>
      <c r="L19" s="993"/>
      <c r="M19" s="984"/>
      <c r="N19" s="972"/>
    </row>
    <row r="20" spans="1:15" s="502" customFormat="1" ht="22.05" customHeight="1">
      <c r="A20" s="989"/>
      <c r="B20" s="937"/>
      <c r="C20" s="229">
        <v>18800</v>
      </c>
      <c r="D20" s="230">
        <f t="shared" ref="D20" si="8">C20*10</f>
        <v>188000</v>
      </c>
      <c r="E20" s="229">
        <v>68700</v>
      </c>
      <c r="F20" s="556">
        <v>121850</v>
      </c>
      <c r="G20" s="557"/>
      <c r="H20" s="520">
        <f t="shared" si="6"/>
        <v>309850</v>
      </c>
      <c r="I20" s="558">
        <f t="shared" si="7"/>
        <v>340835</v>
      </c>
      <c r="J20" s="559" t="s">
        <v>180</v>
      </c>
      <c r="K20" s="994"/>
      <c r="L20" s="994"/>
      <c r="M20" s="976"/>
      <c r="N20" s="972"/>
    </row>
    <row r="21" spans="1:15" s="502" customFormat="1" ht="22.05" customHeight="1">
      <c r="A21" s="990"/>
      <c r="B21" s="991"/>
      <c r="C21" s="18">
        <f>SUM(C18:C20)</f>
        <v>34450</v>
      </c>
      <c r="D21" s="19">
        <f>SUM(D18:D20)</f>
        <v>358900</v>
      </c>
      <c r="E21" s="19">
        <f t="shared" ref="E21:F21" si="9">SUM(E18:E20)</f>
        <v>100000</v>
      </c>
      <c r="F21" s="19">
        <f t="shared" si="9"/>
        <v>188250</v>
      </c>
      <c r="G21" s="19">
        <f>SUM(G18:G20)</f>
        <v>0</v>
      </c>
      <c r="H21" s="19">
        <f t="shared" si="6"/>
        <v>547150</v>
      </c>
      <c r="I21" s="532">
        <f>H21*1.1</f>
        <v>601865</v>
      </c>
      <c r="J21" s="559"/>
      <c r="K21" s="560"/>
      <c r="L21" s="560"/>
      <c r="M21" s="561"/>
      <c r="N21" s="562"/>
    </row>
    <row r="22" spans="1:15" s="502" customFormat="1" ht="25.05" customHeight="1">
      <c r="A22" s="927" t="s">
        <v>181</v>
      </c>
      <c r="B22" s="563" t="s">
        <v>182</v>
      </c>
      <c r="C22" s="564">
        <f>SUM(C7:C11,C4:C5)</f>
        <v>126605</v>
      </c>
      <c r="D22" s="564">
        <f>SUM(D7:D11,D4:D5)</f>
        <v>1076142.5</v>
      </c>
      <c r="E22" s="564">
        <f>SUM(E7:E11,E4:E5)</f>
        <v>520079</v>
      </c>
      <c r="F22" s="564">
        <f>SUM(F7:F11,F4:F5)</f>
        <v>1252702</v>
      </c>
      <c r="G22" s="565">
        <f>SUM(G7:G11,G4:G5)</f>
        <v>15000</v>
      </c>
      <c r="H22" s="565">
        <f>SUM(G22,F22,D22)</f>
        <v>2343844.5</v>
      </c>
      <c r="I22" s="566">
        <f>H22*1.1</f>
        <v>2578228.9500000002</v>
      </c>
      <c r="J22" s="567"/>
      <c r="K22" s="568"/>
      <c r="L22" s="568"/>
      <c r="M22" s="569"/>
      <c r="N22" s="505"/>
      <c r="O22" s="570"/>
    </row>
    <row r="23" spans="1:15" s="502" customFormat="1" ht="25.05" customHeight="1">
      <c r="A23" s="928"/>
      <c r="B23" s="571"/>
      <c r="C23" s="572"/>
      <c r="D23" s="572"/>
      <c r="E23" s="572"/>
      <c r="F23" s="572"/>
      <c r="G23" s="572"/>
      <c r="H23" s="573"/>
      <c r="I23" s="574"/>
      <c r="J23" s="575"/>
      <c r="K23" s="576"/>
      <c r="L23" s="576"/>
      <c r="M23" s="577"/>
      <c r="N23" s="505"/>
      <c r="O23" s="570"/>
    </row>
    <row r="24" spans="1:15" s="502" customFormat="1" ht="25.05" customHeight="1">
      <c r="A24" s="928"/>
      <c r="B24" s="578" t="s">
        <v>5</v>
      </c>
      <c r="C24" s="579"/>
      <c r="D24" s="579"/>
      <c r="E24" s="579">
        <f>SUM(E12:E15)</f>
        <v>169430</v>
      </c>
      <c r="F24" s="579">
        <f>SUM(F12:F15)</f>
        <v>478093</v>
      </c>
      <c r="G24" s="579"/>
      <c r="H24" s="580">
        <f>SUM(G24,F24,D24)</f>
        <v>478093</v>
      </c>
      <c r="I24" s="581">
        <f>H24*1.1</f>
        <v>525902.30000000005</v>
      </c>
      <c r="J24" s="582" t="s">
        <v>183</v>
      </c>
      <c r="K24" s="576"/>
      <c r="L24" s="576"/>
      <c r="M24" s="577"/>
      <c r="N24" s="505"/>
      <c r="O24" s="570"/>
    </row>
    <row r="25" spans="1:15" s="502" customFormat="1" ht="25.05" customHeight="1">
      <c r="A25" s="928"/>
      <c r="B25" s="578"/>
      <c r="C25" s="579">
        <f>SUM(C18:C20)</f>
        <v>34450</v>
      </c>
      <c r="D25" s="579">
        <f>SUM(D18:D20)</f>
        <v>358900</v>
      </c>
      <c r="E25" s="579">
        <f>SUM(E18:E20)</f>
        <v>100000</v>
      </c>
      <c r="F25" s="579">
        <f>SUM(F18:F20)</f>
        <v>188250</v>
      </c>
      <c r="G25" s="579"/>
      <c r="H25" s="580">
        <f t="shared" ref="H25:H26" si="10">SUM(G25,F25,D25)</f>
        <v>547150</v>
      </c>
      <c r="I25" s="581">
        <f t="shared" ref="I25:I26" si="11">H25*1.1</f>
        <v>601865</v>
      </c>
      <c r="J25" s="582" t="s">
        <v>184</v>
      </c>
      <c r="K25" s="576"/>
      <c r="L25" s="576"/>
      <c r="M25" s="577"/>
      <c r="N25" s="505"/>
      <c r="O25" s="570"/>
    </row>
    <row r="26" spans="1:15" s="502" customFormat="1" ht="25.05" customHeight="1">
      <c r="A26" s="928"/>
      <c r="B26" s="578"/>
      <c r="C26" s="579"/>
      <c r="D26" s="579"/>
      <c r="E26" s="579">
        <f>SUM(E17)</f>
        <v>6700</v>
      </c>
      <c r="F26" s="579">
        <f>SUM(F17)</f>
        <v>53600</v>
      </c>
      <c r="G26" s="579"/>
      <c r="H26" s="580">
        <f t="shared" si="10"/>
        <v>53600</v>
      </c>
      <c r="I26" s="581">
        <f t="shared" si="11"/>
        <v>58960.000000000007</v>
      </c>
      <c r="J26" s="582" t="s">
        <v>185</v>
      </c>
      <c r="K26" s="576"/>
      <c r="L26" s="576"/>
      <c r="M26" s="577"/>
      <c r="N26" s="505"/>
      <c r="O26" s="570"/>
    </row>
    <row r="27" spans="1:15" s="502" customFormat="1" ht="25.05" customHeight="1" thickBot="1">
      <c r="A27" s="928"/>
      <c r="B27" s="37"/>
      <c r="C27" s="38"/>
      <c r="D27" s="38"/>
      <c r="E27" s="38"/>
      <c r="F27" s="38"/>
      <c r="G27" s="38"/>
      <c r="H27" s="583"/>
      <c r="I27" s="584"/>
      <c r="J27" s="585"/>
      <c r="K27" s="586"/>
      <c r="L27" s="586"/>
      <c r="M27" s="587"/>
      <c r="N27" s="505"/>
      <c r="O27" s="570"/>
    </row>
    <row r="28" spans="1:15" s="502" customFormat="1" ht="28.05" customHeight="1" thickTop="1">
      <c r="A28" s="929"/>
      <c r="B28" s="39" t="s">
        <v>19</v>
      </c>
      <c r="C28" s="588">
        <f>SUM(C22:C27)</f>
        <v>161055</v>
      </c>
      <c r="D28" s="588">
        <f>SUM(D22:D27)</f>
        <v>1435042.5</v>
      </c>
      <c r="E28" s="588">
        <f>SUM(E22:E27)</f>
        <v>796209</v>
      </c>
      <c r="F28" s="588">
        <f>SUM(F22:F27)</f>
        <v>1972645</v>
      </c>
      <c r="G28" s="588">
        <f>SUM(G22)</f>
        <v>15000</v>
      </c>
      <c r="H28" s="589">
        <f>SUM(H21,H17,H12:H15,H7:H10,H4:H5)</f>
        <v>3422687.5</v>
      </c>
      <c r="I28" s="590">
        <f>SUM(I22:I27)</f>
        <v>3764956.25</v>
      </c>
      <c r="J28" s="591"/>
      <c r="K28" s="592">
        <f>SUM(K4:K21)</f>
        <v>77061</v>
      </c>
      <c r="L28" s="592">
        <f>SUM(L4:L21)</f>
        <v>10787</v>
      </c>
      <c r="M28" s="593">
        <f>SUM(M4:M24)</f>
        <v>1219044</v>
      </c>
      <c r="N28" s="505">
        <f t="shared" ref="N28" si="12">M28/I28</f>
        <v>0.32378702939775195</v>
      </c>
      <c r="O28" s="570"/>
    </row>
    <row r="29" spans="1:15" s="502" customFormat="1" ht="33" customHeight="1">
      <c r="A29"/>
      <c r="B29" s="40" t="s">
        <v>20</v>
      </c>
      <c r="G29" s="594" t="s">
        <v>157</v>
      </c>
      <c r="H29" s="595">
        <v>260000</v>
      </c>
      <c r="I29" s="595"/>
      <c r="M29" s="504"/>
      <c r="N29" s="505"/>
    </row>
  </sheetData>
  <mergeCells count="29">
    <mergeCell ref="K18:K20"/>
    <mergeCell ref="L18:L20"/>
    <mergeCell ref="M18:M20"/>
    <mergeCell ref="N18:N20"/>
    <mergeCell ref="A22:A28"/>
    <mergeCell ref="A13:B13"/>
    <mergeCell ref="A14:B14"/>
    <mergeCell ref="A15:B15"/>
    <mergeCell ref="A17:B17"/>
    <mergeCell ref="A18:A21"/>
    <mergeCell ref="B18:B21"/>
    <mergeCell ref="A12:B12"/>
    <mergeCell ref="H2:H3"/>
    <mergeCell ref="I2:I3"/>
    <mergeCell ref="J2:J3"/>
    <mergeCell ref="K2:K3"/>
    <mergeCell ref="A7:B7"/>
    <mergeCell ref="A8:B8"/>
    <mergeCell ref="A9:B9"/>
    <mergeCell ref="A10:B10"/>
    <mergeCell ref="A11:B11"/>
    <mergeCell ref="L2:L3"/>
    <mergeCell ref="M2:M3"/>
    <mergeCell ref="A1:F1"/>
    <mergeCell ref="A2:A3"/>
    <mergeCell ref="B2:B3"/>
    <mergeCell ref="C2:D2"/>
    <mergeCell ref="E2:F2"/>
    <mergeCell ref="G2:G3"/>
  </mergeCells>
  <phoneticPr fontId="3"/>
  <conditionalFormatting sqref="E13:E16">
    <cfRule type="expression" dxfId="41" priority="34">
      <formula>COUNTIF(#REF!,"*済*")</formula>
    </cfRule>
    <cfRule type="expression" dxfId="40" priority="35">
      <formula>COUNTIF(#REF!,"*一部*")</formula>
    </cfRule>
    <cfRule type="expression" dxfId="39" priority="36">
      <formula>COUNTIF(#REF!,"*未*")</formula>
    </cfRule>
  </conditionalFormatting>
  <conditionalFormatting sqref="E13:F16 F18:F20">
    <cfRule type="expression" dxfId="38" priority="31">
      <formula>COUNTIF(#REF!,"*済*")</formula>
    </cfRule>
    <cfRule type="expression" dxfId="37" priority="32">
      <formula>COUNTIF(#REF!,"*一部*")</formula>
    </cfRule>
    <cfRule type="expression" dxfId="36" priority="33">
      <formula>COUNTIF(#REF!,"*未*")</formula>
    </cfRule>
  </conditionalFormatting>
  <conditionalFormatting sqref="E12:H12 I12:I15">
    <cfRule type="expression" dxfId="35" priority="16">
      <formula>COUNTIF(#REF!,"*済*")</formula>
    </cfRule>
    <cfRule type="expression" dxfId="34" priority="17">
      <formula>COUNTIF(#REF!,"*一部*")</formula>
    </cfRule>
    <cfRule type="expression" dxfId="33" priority="18">
      <formula>COUNTIF(#REF!,"*未*")</formula>
    </cfRule>
  </conditionalFormatting>
  <conditionalFormatting sqref="E12:K12 H13:I15">
    <cfRule type="expression" dxfId="32" priority="19">
      <formula>COUNTIF(#REF!,"*済*")</formula>
    </cfRule>
    <cfRule type="expression" dxfId="31" priority="20">
      <formula>COUNTIF(#REF!,"*一部*")</formula>
    </cfRule>
    <cfRule type="expression" dxfId="30" priority="21">
      <formula>COUNTIF(#REF!,"*未*")</formula>
    </cfRule>
  </conditionalFormatting>
  <conditionalFormatting sqref="F13:F16 F18:F20">
    <cfRule type="expression" dxfId="29" priority="25">
      <formula>COUNTIF(#REF!,"*済*")</formula>
    </cfRule>
    <cfRule type="expression" dxfId="28" priority="24">
      <formula>COUNTIF(#REF!,"*未*")</formula>
    </cfRule>
    <cfRule type="expression" dxfId="27" priority="22">
      <formula>COUNTIF(#REF!,"*済*")</formula>
    </cfRule>
    <cfRule type="expression" dxfId="26" priority="23">
      <formula>COUNTIF(#REF!,"*一部*")</formula>
    </cfRule>
    <cfRule type="expression" dxfId="25" priority="26">
      <formula>COUNTIF(#REF!,"*一部*")</formula>
    </cfRule>
    <cfRule type="expression" dxfId="24" priority="27">
      <formula>COUNTIF(#REF!,"*未*")</formula>
    </cfRule>
    <cfRule type="expression" dxfId="23" priority="28">
      <formula>COUNTIF(#REF!,"*済*")</formula>
    </cfRule>
    <cfRule type="expression" dxfId="22" priority="29">
      <formula>COUNTIF(#REF!,"*一部*")</formula>
    </cfRule>
    <cfRule type="expression" dxfId="21" priority="30">
      <formula>COUNTIF(#REF!,"*未*")</formula>
    </cfRule>
  </conditionalFormatting>
  <conditionalFormatting sqref="H13:H16">
    <cfRule type="expression" dxfId="20" priority="14">
      <formula>COUNTIF(#REF!,"*一部*")</formula>
    </cfRule>
    <cfRule type="expression" dxfId="19" priority="15">
      <formula>COUNTIF(#REF!,"*未*")</formula>
    </cfRule>
    <cfRule type="expression" dxfId="18" priority="13">
      <formula>COUNTIF(#REF!,"*済*")</formula>
    </cfRule>
  </conditionalFormatting>
  <conditionalFormatting sqref="H16">
    <cfRule type="expression" dxfId="17" priority="5">
      <formula>COUNTIF(#REF!,"*一部*")</formula>
    </cfRule>
    <cfRule type="expression" dxfId="16" priority="7">
      <formula>COUNTIF(#REF!,"*済*")</formula>
    </cfRule>
    <cfRule type="expression" dxfId="15" priority="8">
      <formula>COUNTIF(#REF!,"*一部*")</formula>
    </cfRule>
    <cfRule type="expression" dxfId="14" priority="9">
      <formula>COUNTIF(#REF!,"*未*")</formula>
    </cfRule>
    <cfRule type="expression" dxfId="13" priority="10">
      <formula>COUNTIF(#REF!,"*済*")</formula>
    </cfRule>
    <cfRule type="expression" dxfId="12" priority="12">
      <formula>COUNTIF(#REF!,"*未*")</formula>
    </cfRule>
    <cfRule type="expression" dxfId="11" priority="11">
      <formula>COUNTIF(#REF!,"*一部*")</formula>
    </cfRule>
    <cfRule type="expression" dxfId="10" priority="6">
      <formula>COUNTIF(#REF!,"*未*")</formula>
    </cfRule>
    <cfRule type="expression" dxfId="9" priority="4">
      <formula>COUNTIF(#REF!,"*済*")</formula>
    </cfRule>
  </conditionalFormatting>
  <conditionalFormatting sqref="J13">
    <cfRule type="expression" dxfId="8" priority="2">
      <formula>COUNTIF(#REF!,"*一部*")</formula>
    </cfRule>
    <cfRule type="expression" dxfId="7" priority="1">
      <formula>COUNTIF(#REF!,"*済*")</formula>
    </cfRule>
    <cfRule type="expression" dxfId="6" priority="3">
      <formula>COUNTIF(#REF!,"*未*")</formula>
    </cfRule>
  </conditionalFormatting>
  <conditionalFormatting sqref="J13:J16 J12:K12 J18:L18 J19:J21">
    <cfRule type="expression" dxfId="5" priority="40">
      <formula>COUNTIF(#REF!,"*済*")</formula>
    </cfRule>
  </conditionalFormatting>
  <conditionalFormatting sqref="J13:J16">
    <cfRule type="expression" dxfId="4" priority="37">
      <formula>COUNTIF(#REF!,"*済*")</formula>
    </cfRule>
    <cfRule type="expression" dxfId="3" priority="38">
      <formula>COUNTIF(#REF!,"*一部*")</formula>
    </cfRule>
    <cfRule type="expression" dxfId="2" priority="39">
      <formula>COUNTIF(#REF!,"*未*")</formula>
    </cfRule>
  </conditionalFormatting>
  <conditionalFormatting sqref="J12:K12 J13:J16 J18:L18 J19:J21">
    <cfRule type="expression" dxfId="1" priority="41">
      <formula>COUNTIF(#REF!,"*一部*")</formula>
    </cfRule>
    <cfRule type="expression" dxfId="0" priority="42">
      <formula>COUNTIF(#REF!,"*未*")</formula>
    </cfRule>
  </conditionalFormatting>
  <printOptions horizontalCentered="1"/>
  <pageMargins left="0" right="0" top="0.55118110236220474" bottom="0.15748031496062992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FC4481361804842BA119EF04CCBC623" ma:contentTypeVersion="5" ma:contentTypeDescription="新しいドキュメントを作成します。" ma:contentTypeScope="" ma:versionID="9d9f5c109a8324aaf45951c383a45cfc">
  <xsd:schema xmlns:xsd="http://www.w3.org/2001/XMLSchema" xmlns:xs="http://www.w3.org/2001/XMLSchema" xmlns:p="http://schemas.microsoft.com/office/2006/metadata/properties" xmlns:ns3="03e823e1-4807-4319-a515-2a37211fe771" targetNamespace="http://schemas.microsoft.com/office/2006/metadata/properties" ma:root="true" ma:fieldsID="4c336a04dfb416109292d0e7ad7fe27d" ns3:_="">
    <xsd:import namespace="03e823e1-4807-4319-a515-2a37211fe7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823e1-4807-4319-a515-2a37211fe7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D9A414-F514-4F46-A7E4-39CECF257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823e1-4807-4319-a515-2a37211fe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7498B5-D9AD-43D5-9C92-F2E9244EFB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EE113-8A65-46DC-B9ED-E4CEAC9604F5}">
  <ds:schemaRefs>
    <ds:schemaRef ds:uri="http://purl.org/dc/dcmitype/"/>
    <ds:schemaRef ds:uri="http://purl.org/dc/terms/"/>
    <ds:schemaRef ds:uri="http://schemas.microsoft.com/office/2006/documentManagement/types"/>
    <ds:schemaRef ds:uri="03e823e1-4807-4319-a515-2a37211fe771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12</vt:i4>
      </vt:variant>
    </vt:vector>
  </HeadingPairs>
  <TitlesOfParts>
    <vt:vector size="31" baseType="lpstr">
      <vt:lpstr>2026年8月度 売上  </vt:lpstr>
      <vt:lpstr>2026年7月度 売上  </vt:lpstr>
      <vt:lpstr>2026年6月度 売上  </vt:lpstr>
      <vt:lpstr>2026年5月度 売上 </vt:lpstr>
      <vt:lpstr>2026年4月度 売上</vt:lpstr>
      <vt:lpstr>2026年3月度 売上 </vt:lpstr>
      <vt:lpstr>2026年2月度 売上 </vt:lpstr>
      <vt:lpstr>2026年1月度 売上</vt:lpstr>
      <vt:lpstr>2025年12月度 売上</vt:lpstr>
      <vt:lpstr>2025年11月度 売上</vt:lpstr>
      <vt:lpstr>ｒ見本売上</vt:lpstr>
      <vt:lpstr>ｒ11月度meeting資料</vt:lpstr>
      <vt:lpstr>2025年　10月度 売上</vt:lpstr>
      <vt:lpstr>2025年9月度 売上</vt:lpstr>
      <vt:lpstr>2025年8月度 売上</vt:lpstr>
      <vt:lpstr>2025年7月度 売上</vt:lpstr>
      <vt:lpstr>2025年6月度 売上</vt:lpstr>
      <vt:lpstr>2025年5月度 売上</vt:lpstr>
      <vt:lpstr>2025年4月度 売上</vt:lpstr>
      <vt:lpstr>'2025年11月度 売上'!Print_Area</vt:lpstr>
      <vt:lpstr>'2025年12月度 売上'!Print_Area</vt:lpstr>
      <vt:lpstr>'2025年9月度 売上'!Print_Area</vt:lpstr>
      <vt:lpstr>'2026年1月度 売上'!Print_Area</vt:lpstr>
      <vt:lpstr>'2026年2月度 売上 '!Print_Area</vt:lpstr>
      <vt:lpstr>'2026年3月度 売上 '!Print_Area</vt:lpstr>
      <vt:lpstr>'2026年4月度 売上'!Print_Area</vt:lpstr>
      <vt:lpstr>'2026年5月度 売上 '!Print_Area</vt:lpstr>
      <vt:lpstr>'2026年6月度 売上  '!Print_Area</vt:lpstr>
      <vt:lpstr>'2026年7月度 売上  '!Print_Area</vt:lpstr>
      <vt:lpstr>'2026年8月度 売上  '!Print_Area</vt:lpstr>
      <vt:lpstr>'ｒ11月度meeting資料'!Print_Area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KPuser68</dc:creator>
  <cp:lastModifiedBy>makoto kurose</cp:lastModifiedBy>
  <cp:lastPrinted>2026-08-18T06:06:49Z</cp:lastPrinted>
  <dcterms:created xsi:type="dcterms:W3CDTF">2025-10-03T04:48:23Z</dcterms:created>
  <dcterms:modified xsi:type="dcterms:W3CDTF">2026-08-18T09:37:01Z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0x0101008FC4481361804842BA119EF04CCBC623</vt:lpwstr>
  </property>
</Properties>
</file>